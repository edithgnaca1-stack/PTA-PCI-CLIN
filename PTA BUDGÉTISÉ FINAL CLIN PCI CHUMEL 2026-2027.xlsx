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A Budgétisé (Activités)" sheetId="1" state="visible" r:id="rId1"/>
    <sheet xmlns:r="http://schemas.openxmlformats.org/officeDocument/2006/relationships" name="Synthèse Budgét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FCFA&quot;"/>
    <numFmt numFmtId="165" formatCode="0.0 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1B365D"/>
      <sz val="9.5"/>
    </font>
    <font>
      <name val="Calibri"/>
      <sz val="9"/>
    </font>
    <font>
      <name val="Calibri"/>
      <b val="1"/>
      <color rgb="00FFFFFF"/>
      <sz val="11"/>
    </font>
    <font>
      <name val="Calibri"/>
      <b val="1"/>
      <color rgb="001B365D"/>
      <sz val="10"/>
    </font>
    <font>
      <name val="Calibri"/>
      <b val="1"/>
      <sz val="10"/>
    </font>
    <font>
      <name val="Calibri"/>
      <sz val="9.5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3E50"/>
        <bgColor rgb="002C3E50"/>
      </patternFill>
    </fill>
    <fill>
      <patternFill patternType="solid">
        <fgColor rgb="00F9FBFC"/>
        <bgColor rgb="00F9FBFC"/>
      </patternFill>
    </fill>
    <fill>
      <patternFill patternType="solid">
        <fgColor rgb="00FFFFFF"/>
        <bgColor rgb="00FFFFFF"/>
      </patternFill>
    </fill>
    <fill>
      <patternFill patternType="solid">
        <fgColor rgb="00C5A059"/>
        <bgColor rgb="00C5A059"/>
      </patternFill>
    </fill>
  </fills>
  <borders count="5">
    <border>
      <left/>
      <right/>
      <top/>
      <bottom/>
      <diagonal/>
    </border>
    <border>
      <left style="thin">
        <color rgb="000F203C"/>
      </left>
      <right style="thin">
        <color rgb="000F203C"/>
      </right>
      <top style="medium">
        <color rgb="000F203C"/>
      </top>
      <bottom style="medium">
        <color rgb="000F203C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A07D34"/>
      </left>
      <right style="thin">
        <color rgb="00A07D34"/>
      </right>
      <top style="medium">
        <color rgb="00A07D34"/>
      </top>
      <bottom style="medium">
        <color rgb="00A07D34"/>
      </bottom>
    </border>
    <border>
      <left style="thin">
        <color rgb="001B2838"/>
      </left>
      <right style="thin">
        <color rgb="001B2838"/>
      </right>
      <top style="medium">
        <color rgb="001B2838"/>
      </top>
      <bottom style="medium">
        <color rgb="001B2838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164" fontId="4" fillId="4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164" fontId="4" fillId="5" borderId="2" applyAlignment="1" pivotButton="0" quotePrefix="0" xfId="0">
      <alignment horizontal="right" vertical="center"/>
    </xf>
    <xf numFmtId="0" fontId="6" fillId="6" borderId="3" applyAlignment="1" pivotButton="0" quotePrefix="0" xfId="0">
      <alignment horizontal="right" vertical="center"/>
    </xf>
    <xf numFmtId="0" fontId="0" fillId="0" borderId="3" pivotButton="0" quotePrefix="0" xfId="0"/>
    <xf numFmtId="164" fontId="6" fillId="6" borderId="3" applyAlignment="1" pivotButton="0" quotePrefix="0" xfId="0">
      <alignment horizontal="right" vertical="center"/>
    </xf>
    <xf numFmtId="0" fontId="3" fillId="6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left" vertical="center"/>
    </xf>
    <xf numFmtId="164" fontId="7" fillId="4" borderId="2" applyAlignment="1" pivotButton="0" quotePrefix="0" xfId="0">
      <alignment horizontal="right" vertical="center"/>
    </xf>
    <xf numFmtId="165" fontId="8" fillId="4" borderId="2" applyAlignment="1" pivotButton="0" quotePrefix="0" xfId="0">
      <alignment horizontal="right" vertical="center"/>
    </xf>
    <xf numFmtId="0" fontId="9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/>
    </xf>
    <xf numFmtId="164" fontId="7" fillId="5" borderId="2" applyAlignment="1" pivotButton="0" quotePrefix="0" xfId="0">
      <alignment horizontal="right" vertical="center"/>
    </xf>
    <xf numFmtId="165" fontId="8" fillId="5" borderId="2" applyAlignment="1" pivotButton="0" quotePrefix="0" xfId="0">
      <alignment horizontal="right" vertical="center"/>
    </xf>
    <xf numFmtId="0" fontId="6" fillId="2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right" vertical="center"/>
    </xf>
    <xf numFmtId="165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6" customWidth="1" min="3" max="3"/>
    <col width="20" customWidth="1" min="4" max="4"/>
    <col width="24" customWidth="1" min="5" max="5"/>
    <col width="38" customWidth="1" min="6" max="6"/>
    <col width="22" customWidth="1" min="7" max="7"/>
    <col width="16" customWidth="1" min="8" max="8"/>
  </cols>
  <sheetData>
    <row r="1" ht="30" customHeight="1">
      <c r="A1" s="1" t="inlineStr">
        <is>
          <t>PTA BUDGÉTISÉ FINAL CLIN / PCI CHUMEL 2026-2027</t>
        </is>
      </c>
    </row>
    <row r="2" ht="20" customHeight="1">
      <c r="A2" s="2" t="inlineStr">
        <is>
          <t>Plan financier définitif – Uniquement les 17 activités ayant fait l'objet d'un budget validé</t>
        </is>
      </c>
    </row>
    <row r="3" ht="28" customHeight="1">
      <c r="A3" s="3" t="inlineStr">
        <is>
          <t>N°</t>
        </is>
      </c>
      <c r="B3" s="3" t="inlineStr">
        <is>
          <t>Objectif Stratégique</t>
        </is>
      </c>
      <c r="C3" s="3" t="inlineStr">
        <is>
          <t>Activité / Sous-activité budgétisée</t>
        </is>
      </c>
      <c r="D3" s="3" t="inlineStr">
        <is>
          <t>Responsable</t>
        </is>
      </c>
      <c r="E3" s="3" t="inlineStr">
        <is>
          <t>Période d'exécution</t>
        </is>
      </c>
      <c r="F3" s="3" t="inlineStr">
        <is>
          <t>Détail du calcul / Clé de coût</t>
        </is>
      </c>
      <c r="G3" s="3" t="inlineStr">
        <is>
          <t>Budget Alloué (FCFA)</t>
        </is>
      </c>
      <c r="H3" s="3" t="inlineStr">
        <is>
          <t>Source de Financement</t>
        </is>
      </c>
    </row>
    <row r="4" ht="32" customHeight="1">
      <c r="A4" s="4" t="n">
        <v>1</v>
      </c>
      <c r="B4" s="5" t="inlineStr">
        <is>
          <t>I. PROGRAMME PCI</t>
        </is>
      </c>
      <c r="C4" s="5" t="inlineStr">
        <is>
          <t>Solliciter une expertise externe pour accompagner le CLIN/PCI</t>
        </is>
      </c>
      <c r="D4" s="6" t="inlineStr">
        <is>
          <t>DG / CLIN / EOPCI</t>
        </is>
      </c>
      <c r="E4" s="7" t="inlineStr">
        <is>
          <t>Février 2027</t>
        </is>
      </c>
      <c r="F4" s="5" t="inlineStr">
        <is>
          <t>Honoraires et mission expert externe PCI (Forfait global)</t>
        </is>
      </c>
      <c r="G4" s="8" t="n">
        <v>2100000</v>
      </c>
      <c r="H4" s="4" t="inlineStr">
        <is>
          <t>FP</t>
        </is>
      </c>
    </row>
    <row r="5" ht="32" customHeight="1">
      <c r="A5" s="9" t="n">
        <v>2</v>
      </c>
      <c r="B5" s="10" t="inlineStr">
        <is>
          <t>I. PROGRAMME PCI</t>
        </is>
      </c>
      <c r="C5" s="10" t="inlineStr">
        <is>
          <t>Organiser l’atelier de Validation du plan stratégique, du PTA, du PO et du budget</t>
        </is>
      </c>
      <c r="D5" s="11" t="inlineStr">
        <is>
          <t>DG / CLIN / Point focal PCI</t>
        </is>
      </c>
      <c r="E5" s="12" t="inlineStr">
        <is>
          <t>Octobre 2026</t>
        </is>
      </c>
      <c r="F5" s="10" t="inlineStr">
        <is>
          <t>25 participants x 8 000 FCFA (indemnités &amp; pause-café atelier)</t>
        </is>
      </c>
      <c r="G5" s="13" t="n">
        <v>200000</v>
      </c>
      <c r="H5" s="9" t="inlineStr">
        <is>
          <t>FP</t>
        </is>
      </c>
    </row>
    <row r="6" ht="32" customHeight="1">
      <c r="A6" s="4" t="n">
        <v>3</v>
      </c>
      <c r="B6" s="5" t="inlineStr">
        <is>
          <t>II. LIGNES DIRECTRICES, PROTOCOLES ET POS</t>
        </is>
      </c>
      <c r="C6" s="5" t="inlineStr">
        <is>
          <t>Réaliser la relecture des lignes directrices nationales et internationales (OMS) de PCI et les adapter au contexte du CHUMEL</t>
        </is>
      </c>
      <c r="D6" s="6" t="inlineStr">
        <is>
          <t>EOPCI / CLIN</t>
        </is>
      </c>
      <c r="E6" s="7" t="inlineStr">
        <is>
          <t>2 Jours Décembre 2026 - Janvier 2027</t>
        </is>
      </c>
      <c r="F6" s="5" t="inlineStr">
        <is>
          <t>15 experts x 8 000 FCFA/j x 2 jours de relecture et contextualisation</t>
        </is>
      </c>
      <c r="G6" s="8" t="n">
        <v>240000</v>
      </c>
      <c r="H6" s="4" t="inlineStr">
        <is>
          <t>FP</t>
        </is>
      </c>
    </row>
    <row r="7" ht="32" customHeight="1">
      <c r="A7" s="9" t="n">
        <v>4</v>
      </c>
      <c r="B7" s="10" t="inlineStr">
        <is>
          <t>II. LIGNES DIRECTRICES, PROTOCOLES ET POS</t>
        </is>
      </c>
      <c r="C7" s="10" t="inlineStr">
        <is>
          <t>2.1.3. Organiser une séance statutaire de validation technique des POS élaborées par le CLIN et la direction</t>
        </is>
      </c>
      <c r="D7" s="11" t="inlineStr">
        <is>
          <t>CLIN / DG</t>
        </is>
      </c>
      <c r="E7" s="12" t="inlineStr">
        <is>
          <t>Février 2027</t>
        </is>
      </c>
      <c r="F7" s="10" t="inlineStr">
        <is>
          <t>25 participants x 8 000 FCFA (indemnités &amp; pause-café de validation)</t>
        </is>
      </c>
      <c r="G7" s="13" t="n">
        <v>200000</v>
      </c>
      <c r="H7" s="9" t="inlineStr">
        <is>
          <t>FP</t>
        </is>
      </c>
    </row>
    <row r="8" ht="32" customHeight="1">
      <c r="A8" s="4" t="n">
        <v>5</v>
      </c>
      <c r="B8" s="5" t="inlineStr">
        <is>
          <t>III. FORMATION ET ÉDUCATION EN PCI</t>
        </is>
      </c>
      <c r="C8" s="5" t="inlineStr">
        <is>
          <t>Faire former 3 personnels du CLIN en hygiène hospitalière PCI et sécurité des patients</t>
        </is>
      </c>
      <c r="D8" s="6" t="inlineStr">
        <is>
          <t>DG / CLIN / EOPCI</t>
        </is>
      </c>
      <c r="E8" s="7" t="inlineStr">
        <is>
          <t>Janvier - Mars 2027</t>
        </is>
      </c>
      <c r="F8" s="5" t="inlineStr">
        <is>
          <t>3 inscriptions / bourses certifiantes x 500 000 FCFA</t>
        </is>
      </c>
      <c r="G8" s="8" t="n">
        <v>1500000</v>
      </c>
      <c r="H8" s="4" t="inlineStr">
        <is>
          <t>FP</t>
        </is>
      </c>
    </row>
    <row r="9" ht="32" customHeight="1">
      <c r="A9" s="9" t="n">
        <v>6</v>
      </c>
      <c r="B9" s="10" t="inlineStr">
        <is>
          <t>III. FORMATION ET ÉDUCATION EN PCI</t>
        </is>
      </c>
      <c r="C9" s="10" t="inlineStr">
        <is>
          <t>Faire former 1 personnel du CLIN en évaluation des risques sanitaires</t>
        </is>
      </c>
      <c r="D9" s="11" t="inlineStr">
        <is>
          <t>DG / CLIN / EOPCI</t>
        </is>
      </c>
      <c r="E9" s="12" t="inlineStr">
        <is>
          <t>Janvier - Mars 2027</t>
        </is>
      </c>
      <c r="F9" s="10" t="inlineStr">
        <is>
          <t>1 inscription / formation certifiante en gestion des risques sanitaires</t>
        </is>
      </c>
      <c r="G9" s="13" t="n">
        <v>500000</v>
      </c>
      <c r="H9" s="9" t="inlineStr">
        <is>
          <t>FP</t>
        </is>
      </c>
    </row>
    <row r="10" ht="32" customHeight="1">
      <c r="A10" s="4" t="n">
        <v>7</v>
      </c>
      <c r="B10" s="5" t="inlineStr">
        <is>
          <t>III. FORMATION ET ÉDUCATION EN PCI</t>
        </is>
      </c>
      <c r="C10" s="5" t="inlineStr">
        <is>
          <t>3.1.3. Former l'ensemble du personnel soignant aux Précautions Standard et Précautions Complémentaires une fois par an (focus COVID-19, Fièvre de Lassa, Mpox) :
- Diffuser les notes de service et plannings de passage
- Dispenser les sessions modulaires (300 professionnels ciblés)
- Réaliser les pré-tests et post-tests de compétences</t>
        </is>
      </c>
      <c r="D10" s="6" t="inlineStr">
        <is>
          <t>Formateurs internes / EOPCI / DG</t>
        </is>
      </c>
      <c r="E10" s="7" t="inlineStr">
        <is>
          <t>Janvier - Mars 2027</t>
        </is>
      </c>
      <c r="F10" s="5" t="inlineStr">
        <is>
          <t>300 soignants x 8 000 FCFA (sessions modulaires par vagues)</t>
        </is>
      </c>
      <c r="G10" s="8" t="n">
        <v>2400000</v>
      </c>
      <c r="H10" s="4" t="inlineStr">
        <is>
          <t>FP</t>
        </is>
      </c>
    </row>
    <row r="11" ht="32" customHeight="1">
      <c r="A11" s="9" t="n">
        <v>8</v>
      </c>
      <c r="B11" s="10" t="inlineStr">
        <is>
          <t>III. FORMATION ET ÉDUCATION EN PCI</t>
        </is>
      </c>
      <c r="C11" s="10" t="inlineStr">
        <is>
          <t>3.3.2. Assurer la participation de la délégation du CHUMEL aux congrès scientifiques de PCI (SB2HPCI / HBEEPTI) (15 membres ciblés)</t>
        </is>
      </c>
      <c r="D11" s="11" t="inlineStr">
        <is>
          <t>DG / Point focal PCI</t>
        </is>
      </c>
      <c r="E11" s="12" t="inlineStr">
        <is>
          <t>Mai - Juin 2027</t>
        </is>
      </c>
      <c r="F11" s="10" t="inlineStr">
        <is>
          <t>Forfait frais d'inscription et participation de la délégation</t>
        </is>
      </c>
      <c r="G11" s="13" t="n">
        <v>300000</v>
      </c>
      <c r="H11" s="9" t="inlineStr">
        <is>
          <t>FP</t>
        </is>
      </c>
    </row>
    <row r="12" ht="32" customHeight="1">
      <c r="A12" s="4" t="n">
        <v>9</v>
      </c>
      <c r="B12" s="5" t="inlineStr">
        <is>
          <t>III. FORMATION ET ÉDUCATION EN PCI</t>
        </is>
      </c>
      <c r="C12" s="5" t="inlineStr">
        <is>
          <t>7.3.1. Faire une journée de l’hygiène des mains (organisation et célébration de la Journée internationale du 5 mai 2027 «Sauvez des vies : nettoyez-vous les mains») :
- Conférences thématiques et ateliers de démonstration pratique
- Concours d'émulation du service le plus observant avec remise de prix
- Distribution de flacons individuels de solution hydro-alcoolique (PHA)
- Stands d'information grand public et couverture médiatique</t>
        </is>
      </c>
      <c r="D12" s="6" t="inlineStr">
        <is>
          <t>CLIN / EOPCI / DG</t>
        </is>
      </c>
      <c r="E12" s="7" t="inlineStr">
        <is>
          <t>Mai 2027</t>
        </is>
      </c>
      <c r="F12" s="5" t="inlineStr">
        <is>
          <t>Forfait organisation de la journée, prix d'émulation, supports et flacons PHA</t>
        </is>
      </c>
      <c r="G12" s="8" t="n">
        <v>500000</v>
      </c>
      <c r="H12" s="4" t="inlineStr">
        <is>
          <t>FP / PTF</t>
        </is>
      </c>
    </row>
    <row r="13" ht="32" customHeight="1">
      <c r="A13" s="9" t="n">
        <v>10</v>
      </c>
      <c r="B13" s="10" t="inlineStr">
        <is>
          <t>III. FORMATION ET ÉDUCATION EN PCI</t>
        </is>
      </c>
      <c r="C13" s="10" t="inlineStr">
        <is>
          <t>Participer au congrès de la médecine hospitalière EOPCI</t>
        </is>
      </c>
      <c r="D13" s="11" t="inlineStr">
        <is>
          <t>DG / CLIN / EOPCI</t>
        </is>
      </c>
      <c r="E13" s="12" t="inlineStr">
        <is>
          <t>Juillet 2027</t>
        </is>
      </c>
      <c r="F13" s="10" t="inlineStr">
        <is>
          <t>Forfait inscription et communication scientifique de l'EOPCI</t>
        </is>
      </c>
      <c r="G13" s="13" t="n">
        <v>300000</v>
      </c>
      <c r="H13" s="9" t="inlineStr">
        <is>
          <t>FP</t>
        </is>
      </c>
    </row>
    <row r="14" ht="32" customHeight="1">
      <c r="A14" s="4" t="n">
        <v>11</v>
      </c>
      <c r="B14" s="5" t="inlineStr">
        <is>
          <t>V. SURVEILLANCE DES IAS</t>
        </is>
      </c>
      <c r="C14" s="5" t="inlineStr">
        <is>
          <t>5.2.2. Exécuter le programme annuel de recherche des germes nosocomiaux et profils de résistance aux antibiotiques (33 processus / séries de prélèvements environnementaux et sentinelles) :
- Prélèvements de surfaces dans les blocs opératoires, réanimation, néonatologie et biberonnerie
- Contrôle bactériologique de l'air et de la stérilisation
- Isolement des bactéries multirésistantes (BMR) et établissement des antibiogrammes
- Analyser les alertes infectieuses et incidents de la semaine
- Coordonner les activités de terrain et les supervisions</t>
        </is>
      </c>
      <c r="D14" s="6" t="inlineStr">
        <is>
          <t>Laboratoire de bactériologie / EOPCI</t>
        </is>
      </c>
      <c r="E14" s="7" t="inlineStr">
        <is>
          <t>Continu (Octobre 2026 - Septembre 2027)</t>
        </is>
      </c>
      <c r="F14" s="5" t="inlineStr">
        <is>
          <t>Forfait consommables bactériologiques, milieux de culture et réactifs d'antibiogramme</t>
        </is>
      </c>
      <c r="G14" s="8" t="n">
        <v>1000000</v>
      </c>
      <c r="H14" s="4" t="inlineStr">
        <is>
          <t>FP</t>
        </is>
      </c>
    </row>
    <row r="15" ht="32" customHeight="1">
      <c r="A15" s="9" t="n">
        <v>12</v>
      </c>
      <c r="B15" s="10" t="inlineStr">
        <is>
          <t>VII. SUIVI, AUDITS ET RESTITUTION DES RÉSULTATS</t>
        </is>
      </c>
      <c r="C15" s="10" t="inlineStr">
        <is>
          <t>7.1.2. Élaborer, tester et dupliquer les outils et grilles standardisés d'audit clinique et de recueil de données de terrain</t>
        </is>
      </c>
      <c r="D15" s="11" t="inlineStr">
        <is>
          <t>EOPCI</t>
        </is>
      </c>
      <c r="E15" s="12" t="inlineStr">
        <is>
          <t>Février 2027</t>
        </is>
      </c>
      <c r="F15" s="10" t="inlineStr">
        <is>
          <t>Forfait infographie, duplication et reprographie des grilles d'audit clinique</t>
        </is>
      </c>
      <c r="G15" s="13" t="n">
        <v>250000</v>
      </c>
      <c r="H15" s="9" t="inlineStr">
        <is>
          <t>FP</t>
        </is>
      </c>
    </row>
    <row r="16" ht="32" customHeight="1">
      <c r="A16" s="4" t="n">
        <v>13</v>
      </c>
      <c r="B16" s="5" t="inlineStr">
        <is>
          <t>VIII. CHARGES DE TRAVAIL, DOTATION EN PERSONNEL, GESTION DES DÉCHETS BIOMÉDICAUX ET ENVIRONNEMENT BÂTI (WASH)</t>
        </is>
      </c>
      <c r="C16" s="5" t="inlineStr">
        <is>
          <t>8.2.4. Faire installer un incinérateur hospitalier fonctionnel et de capacité suffisante</t>
        </is>
      </c>
      <c r="D16" s="6" t="inlineStr">
        <is>
          <t>DG / DST / Ministère de la Santé / PTF</t>
        </is>
      </c>
      <c r="E16" s="7" t="inlineStr">
        <is>
          <t>Janvier - Août 2027</t>
        </is>
      </c>
      <c r="F16" s="5" t="inlineStr">
        <is>
          <t>Forfait études techniques préliminaires d'ingénierie et impact environnemental (FP)</t>
        </is>
      </c>
      <c r="G16" s="8" t="n">
        <v>1000000</v>
      </c>
      <c r="H16" s="4" t="inlineStr">
        <is>
          <t>FP (études) / PTF-État (travaux)</t>
        </is>
      </c>
    </row>
    <row r="17" ht="32" customHeight="1">
      <c r="A17" s="9" t="n">
        <v>14</v>
      </c>
      <c r="B17" s="10" t="inlineStr">
        <is>
          <t>VIII. CHARGES DE TRAVAIL, DOTATION EN PERSONNEL, GESTION DES DÉCHETS BIOMÉDICAUX ET ENVIRONNEMENT BÂTI (WASH)</t>
        </is>
      </c>
      <c r="C17" s="10" t="inlineStr">
        <is>
          <t>8.3.1. Vérifier la qualité de l’eau une fois par an (analyses physico-chimiques et bactériologiques des forages, réservoirs de stockage et robinets de soins par un laboratoire agréé)</t>
        </is>
      </c>
      <c r="D17" s="11" t="inlineStr">
        <is>
          <t>EOPCI / DST / Laboratoire d'Hygiène de l'Eau</t>
        </is>
      </c>
      <c r="E17" s="12" t="inlineStr">
        <is>
          <t>Mars 2027</t>
        </is>
      </c>
      <c r="F17" s="10" t="inlineStr">
        <is>
          <t>Forfait prélèvements et analyses physico-chimiques/bactériologiques laboratoire externe agréé</t>
        </is>
      </c>
      <c r="G17" s="13" t="n">
        <v>1000000</v>
      </c>
      <c r="H17" s="9" t="inlineStr">
        <is>
          <t>FP</t>
        </is>
      </c>
    </row>
    <row r="18" ht="32" customHeight="1">
      <c r="A18" s="4" t="n">
        <v>15</v>
      </c>
      <c r="B18" s="5" t="inlineStr">
        <is>
          <t>VIII. CHARGES DE TRAVAIL, DOTATION EN PERSONNEL, GESTION DES DÉCHETS BIOMÉDICAUX ET ENVIRONNEMENT BÂTI (WASH)</t>
        </is>
      </c>
      <c r="C18" s="5" t="inlineStr">
        <is>
          <t>8.3.2. Vérifier la qualité et la concentration des matériels et produits de désinfection (titrage régulier du chlore actif de l'eau de javel et conformité des solutions hydro-alcooliques)</t>
        </is>
      </c>
      <c r="D18" s="6" t="inlineStr">
        <is>
          <t>Pharmacie hospitalière / Laboratoire / EOPCI</t>
        </is>
      </c>
      <c r="E18" s="7" t="inlineStr">
        <is>
          <t>Trimestriel (Nov. 2026, Fév., Mai, Août 2027)</t>
        </is>
      </c>
      <c r="F18" s="5" t="inlineStr">
        <is>
          <t>Forfait bandelettes de test, réactifs de chlorométrie et contrôles pharmacotechniques</t>
        </is>
      </c>
      <c r="G18" s="8" t="n">
        <v>500000</v>
      </c>
      <c r="H18" s="4" t="inlineStr">
        <is>
          <t>FP</t>
        </is>
      </c>
    </row>
    <row r="19" ht="32" customHeight="1">
      <c r="A19" s="9" t="n">
        <v>16</v>
      </c>
      <c r="B19" s="10" t="inlineStr">
        <is>
          <t>VIII. CHARGES DE TRAVAIL, DOTATION EN PERSONNEL, GESTION DES DÉCHETS BIOMÉDICAUX ET ENVIRONNEMENT BÂTI (WASH)</t>
        </is>
      </c>
      <c r="C19" s="10" t="inlineStr">
        <is>
          <t>8.3.3. Acquérir et installer 20 dispositifs ergonomiques de lavage des mains avec robinetterie non manuelle (commande au coude ou à pédale) dans les zones critiques dépourvues de points d'eau</t>
        </is>
      </c>
      <c r="D19" s="11" t="inlineStr">
        <is>
          <t>DST / DAF / EOPCI</t>
        </is>
      </c>
      <c r="E19" s="12" t="inlineStr">
        <is>
          <t>Décembre 2026 - Mars 2027</t>
        </is>
      </c>
      <c r="F19" s="10" t="inlineStr">
        <is>
          <t>Forfait achat et pose de 20 postes de lavage avec robinetterie commande non manuelle</t>
        </is>
      </c>
      <c r="G19" s="13" t="n">
        <v>1000000</v>
      </c>
      <c r="H19" s="9" t="inlineStr">
        <is>
          <t>FP</t>
        </is>
      </c>
    </row>
    <row r="20" ht="32" customHeight="1">
      <c r="A20" s="4" t="n">
        <v>17</v>
      </c>
      <c r="B20" s="5" t="inlineStr">
        <is>
          <t>VI. COMMUNICATION SUR LA PCI</t>
        </is>
      </c>
      <c r="C20" s="5" t="inlineStr">
        <is>
          <t>ELABORATION DES OUTILS DE COMMUNICATION SUR L’hygiène hospitalière et la PCI (Affiches, affichettes, dépliants)</t>
        </is>
      </c>
      <c r="D20" s="6" t="inlineStr">
        <is>
          <t>EOPCI / Cellule Communication</t>
        </is>
      </c>
      <c r="E20" s="7" t="inlineStr">
        <is>
          <t>Février – Mars 2027</t>
        </is>
      </c>
      <c r="F20" s="5" t="inlineStr">
        <is>
          <t>Forfait conception graphique et mise en page des supports visuels PCI</t>
        </is>
      </c>
      <c r="G20" s="8" t="n">
        <v>500000</v>
      </c>
      <c r="H20" s="4" t="inlineStr">
        <is>
          <t>FP</t>
        </is>
      </c>
    </row>
    <row r="21" ht="30" customHeight="1">
      <c r="A21" s="14" t="inlineStr">
        <is>
          <t>TOTAL GÉNÉRAL CONSOLIDÉ (17 Activités Budgétisées)</t>
        </is>
      </c>
      <c r="B21" s="15" t="n"/>
      <c r="C21" s="15" t="n"/>
      <c r="D21" s="15" t="n"/>
      <c r="E21" s="15" t="n"/>
      <c r="F21" s="15" t="n"/>
      <c r="G21" s="16">
        <f>SUM(G4:G20)</f>
        <v/>
      </c>
      <c r="H21" s="17" t="inlineStr">
        <is>
          <t>FP / PTF</t>
        </is>
      </c>
    </row>
  </sheetData>
  <mergeCells count="3">
    <mergeCell ref="A21:F21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24" customWidth="1" min="4" max="4"/>
    <col width="16" customWidth="1" min="5" max="5"/>
  </cols>
  <sheetData>
    <row r="1" ht="30" customHeight="1">
      <c r="A1" s="1" t="inlineStr">
        <is>
          <t>SYNTHÈSE BUDGÉTAIRE DU PTA PCI CHUMEL 2026-2027</t>
        </is>
      </c>
    </row>
    <row r="3" ht="26" customHeight="1">
      <c r="A3" s="18" t="inlineStr">
        <is>
          <t>N°</t>
        </is>
      </c>
      <c r="B3" s="18" t="inlineStr">
        <is>
          <t>Objectif Stratégique</t>
        </is>
      </c>
      <c r="C3" s="18" t="inlineStr">
        <is>
          <t>Nombre d'activités</t>
        </is>
      </c>
      <c r="D3" s="18" t="inlineStr">
        <is>
          <t>Budget Alloué (FCFA)</t>
        </is>
      </c>
      <c r="E3" s="18" t="inlineStr">
        <is>
          <t>Part (%)</t>
        </is>
      </c>
    </row>
    <row r="4" ht="26" customHeight="1">
      <c r="A4" s="19" t="n">
        <v>1</v>
      </c>
      <c r="B4" s="20" t="inlineStr">
        <is>
          <t>I. PROGRAMME PCI</t>
        </is>
      </c>
      <c r="C4" s="19" t="n">
        <v>2</v>
      </c>
      <c r="D4" s="21" t="n">
        <v>2300000</v>
      </c>
      <c r="E4" s="22">
        <f>D4/$D$11</f>
        <v/>
      </c>
    </row>
    <row r="5" ht="26" customHeight="1">
      <c r="A5" s="23" t="n">
        <v>2</v>
      </c>
      <c r="B5" s="24" t="inlineStr">
        <is>
          <t>II. LIGNES DIRECTRICES, PROTOCOLES ET POS</t>
        </is>
      </c>
      <c r="C5" s="23" t="n">
        <v>2</v>
      </c>
      <c r="D5" s="25" t="n">
        <v>440000</v>
      </c>
      <c r="E5" s="26">
        <f>D5/$D$11</f>
        <v/>
      </c>
    </row>
    <row r="6" ht="26" customHeight="1">
      <c r="A6" s="19" t="n">
        <v>3</v>
      </c>
      <c r="B6" s="20" t="inlineStr">
        <is>
          <t>III. FORMATION ET ÉDUCATION EN PCI</t>
        </is>
      </c>
      <c r="C6" s="19" t="n">
        <v>6</v>
      </c>
      <c r="D6" s="21" t="n">
        <v>5500000</v>
      </c>
      <c r="E6" s="22">
        <f>D6/$D$11</f>
        <v/>
      </c>
    </row>
    <row r="7" ht="26" customHeight="1">
      <c r="A7" s="23" t="n">
        <v>4</v>
      </c>
      <c r="B7" s="24" t="inlineStr">
        <is>
          <t>V. SURVEILLANCE DES IAS</t>
        </is>
      </c>
      <c r="C7" s="23" t="n">
        <v>1</v>
      </c>
      <c r="D7" s="25" t="n">
        <v>1000000</v>
      </c>
      <c r="E7" s="26">
        <f>D7/$D$11</f>
        <v/>
      </c>
    </row>
    <row r="8" ht="26" customHeight="1">
      <c r="A8" s="19" t="n">
        <v>5</v>
      </c>
      <c r="B8" s="20" t="inlineStr">
        <is>
          <t>VII. SUIVI, AUDITS ET RESTITUTION DES RÉSULTATS</t>
        </is>
      </c>
      <c r="C8" s="19" t="n">
        <v>1</v>
      </c>
      <c r="D8" s="21" t="n">
        <v>250000</v>
      </c>
      <c r="E8" s="22">
        <f>D8/$D$11</f>
        <v/>
      </c>
    </row>
    <row r="9" ht="26" customHeight="1">
      <c r="A9" s="23" t="n">
        <v>6</v>
      </c>
      <c r="B9" s="24" t="inlineStr">
        <is>
          <t>VIII. CHARGES DE TRAVAIL, DOTATION EN PERSONNEL, GESTION DES DÉCHETS BIOMÉDICAUX ET ENVIRONNEMENT BÂTI (WASH)</t>
        </is>
      </c>
      <c r="C9" s="23" t="n">
        <v>4</v>
      </c>
      <c r="D9" s="25" t="n">
        <v>3500000</v>
      </c>
      <c r="E9" s="26">
        <f>D9/$D$11</f>
        <v/>
      </c>
    </row>
    <row r="10" ht="26" customHeight="1">
      <c r="A10" s="19" t="n">
        <v>7</v>
      </c>
      <c r="B10" s="20" t="inlineStr">
        <is>
          <t>VI. COMMUNICATION SUR LA PCI</t>
        </is>
      </c>
      <c r="C10" s="19" t="n">
        <v>1</v>
      </c>
      <c r="D10" s="21" t="n">
        <v>500000</v>
      </c>
      <c r="E10" s="22">
        <f>D10/$D$11</f>
        <v/>
      </c>
    </row>
    <row r="11" ht="30" customHeight="1">
      <c r="A11" s="27" t="inlineStr">
        <is>
          <t>TOTAL GÉNÉRAL CONSOLIDÉ</t>
        </is>
      </c>
      <c r="B11" s="28" t="n"/>
      <c r="C11" s="29">
        <f>SUM(C4:C10)</f>
        <v/>
      </c>
      <c r="D11" s="30">
        <f>SUM(D4:D10)</f>
        <v/>
      </c>
      <c r="E11" s="31" t="n">
        <v>1</v>
      </c>
    </row>
  </sheetData>
  <mergeCells count="2">
    <mergeCell ref="A1:E1"/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2026-09-30T06:37:22Z</dcterms:created>
  <dcterms:modified xmlns:dcterms="http://purl.org/dc/terms/" xmlns:xsi="http://www.w3.org/2001/XMLSchema-instance" xsi:type="dcterms:W3CDTF">2026-09-30T06:37:22Z</dcterms:modified>
</cp:coreProperties>
</file>