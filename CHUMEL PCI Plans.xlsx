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andjemecolettesylvie/Desktop/Mes Docs teclast/document/Professionnel/CHU-MEL/CLIN/CLIN 2024/"/>
    </mc:Choice>
  </mc:AlternateContent>
  <xr:revisionPtr revIDLastSave="0" documentId="13_ncr:1_{47272D82-E320-8543-A0DD-EAC85405A6C8}" xr6:coauthVersionLast="47" xr6:coauthVersionMax="47" xr10:uidLastSave="{00000000-0000-0000-0000-000000000000}"/>
  <bookViews>
    <workbookView xWindow="2660" yWindow="2760" windowWidth="25060" windowHeight="17680" activeTab="5" xr2:uid="{00000000-000D-0000-FFFF-FFFF00000000}"/>
  </bookViews>
  <sheets>
    <sheet name="Instructions" sheetId="1" r:id="rId1"/>
    <sheet name="FR_Strategic_Plan" sheetId="2" r:id="rId2"/>
    <sheet name="Plan Opérationnel" sheetId="3" r:id="rId3"/>
    <sheet name="Plan suivi évaluation" sheetId="4" r:id="rId4"/>
    <sheet name="Plan Budgetiser PCI" sheetId="5" r:id="rId5"/>
    <sheet name="Plan Opérationnel (2)" sheetId="6" r:id="rId6"/>
  </sheets>
  <definedNames>
    <definedName name="_xlnm._FilterDatabase" localSheetId="4" hidden="1">'Plan Budgetiser PCI'!$A$2:$H$43</definedName>
    <definedName name="_xlnm._FilterDatabase" localSheetId="2" hidden="1">'Plan Opérationnel'!$A$11:$H$35</definedName>
    <definedName name="_xlnm._FilterDatabase" localSheetId="5" hidden="1">'Plan Opérationnel (2)'!$A$11:$H$36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5" l="1"/>
  <c r="F12" i="5"/>
  <c r="F36" i="5"/>
  <c r="F39" i="5"/>
  <c r="F40" i="5"/>
  <c r="F41" i="5"/>
  <c r="F38" i="5"/>
  <c r="F42" i="5" s="1"/>
  <c r="F37" i="5"/>
  <c r="F35" i="5"/>
  <c r="F32" i="5"/>
  <c r="F31" i="5"/>
  <c r="F33" i="5"/>
  <c r="F26" i="5"/>
  <c r="F28" i="5"/>
  <c r="F6" i="5"/>
  <c r="F7" i="5"/>
  <c r="F8" i="5"/>
  <c r="F11" i="5"/>
  <c r="F15" i="5" s="1"/>
  <c r="F14" i="5"/>
  <c r="F17" i="5"/>
  <c r="F18" i="5"/>
  <c r="F5" i="5"/>
  <c r="F34" i="5"/>
  <c r="F21" i="5"/>
  <c r="F24" i="5"/>
  <c r="F4" i="5"/>
  <c r="F3" i="5"/>
  <c r="F19" i="5" l="1"/>
  <c r="F9" i="5"/>
  <c r="F43" i="5" s="1"/>
</calcChain>
</file>

<file path=xl/sharedStrings.xml><?xml version="1.0" encoding="utf-8"?>
<sst xmlns="http://schemas.openxmlformats.org/spreadsheetml/2006/main" count="599" uniqueCount="261">
  <si>
    <t>Date:</t>
  </si>
  <si>
    <t>Email:</t>
  </si>
  <si>
    <t>Téléphone :</t>
  </si>
  <si>
    <t>Noms du Rapporteur :</t>
  </si>
  <si>
    <t>TEMPLETE POUR PLANIFICATION STRATEGIQUE</t>
  </si>
  <si>
    <t>Rappel sur la planification stratégique</t>
  </si>
  <si>
    <t>La planification stratégique consiste au développement de stratégies afin d’atteindre un objectif fixé sur base des faiblesses identifiées lors de l’analyse situationnelle.</t>
  </si>
  <si>
    <t>Ainsi, différentes interventions/activités seront identifiées par rapport à chaque objectif pris à partir de chaque réponse « non » (exceptionnellement « oui ») : le plan stratégique comprend l’ensemble des interventions stratégiques à mettre en œuvre sur le moyen terme (dans les 5 ans).</t>
  </si>
  <si>
    <t>LES ETAPES DE LA PLANIFICATION STRATEGIQUE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</si>
  <si>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Analyse « FFOM »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</si>
  <si>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Définition des interventions stratégiques 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</si>
  <si>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Identification des activités </t>
    </r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</si>
  <si>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>Analyse des risques</t>
    </r>
  </si>
  <si>
    <t>Objectif stratégique</t>
  </si>
  <si>
    <t>Interventions stratégiques</t>
  </si>
  <si>
    <t>Étapes principales</t>
  </si>
  <si>
    <t>Identification des risques</t>
  </si>
  <si>
    <t>Atténuation des risques</t>
  </si>
  <si>
    <t>7.1 Développement du niveau de la dotation en personnel selon les normes nationales</t>
  </si>
  <si>
    <t>PLAN STRATEGIQUE PCI</t>
  </si>
  <si>
    <t>Etablissement de santé:</t>
  </si>
  <si>
    <r>
      <t>•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Calibri"/>
        <family val="2"/>
        <scheme val="minor"/>
      </rPr>
      <t xml:space="preserve">Fixation des objectifs stratégiques </t>
    </r>
  </si>
  <si>
    <t xml:space="preserve">1.1. Création d’une structure fonctionnelle 
(service ou unité) de la PCI
</t>
  </si>
  <si>
    <t>7.2 Développent d’un système d’amélioration des occupations, d’espacement des lits et le flux des patients</t>
  </si>
  <si>
    <t>Acquérir des lits supplémentaires</t>
  </si>
  <si>
    <t>Mobilisation des ressources</t>
  </si>
  <si>
    <t>Interférence des activités</t>
  </si>
  <si>
    <t>Planification des activités</t>
  </si>
  <si>
    <t>organisation d'un collectif budgétaire</t>
  </si>
  <si>
    <t>Indisponiblité des acteurs</t>
  </si>
  <si>
    <t>suivi rapproché</t>
  </si>
  <si>
    <t>Insuffisance de ressources Financières</t>
  </si>
  <si>
    <t>Respect le chronogramme</t>
  </si>
  <si>
    <r>
      <t>Mettre en place un mécanisme de surveillance des indicateurs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theme="1"/>
        <rFont val="Times New Roman"/>
        <family val="1"/>
      </rPr>
      <t>d’e</t>
    </r>
    <r>
      <rPr>
        <sz val="11"/>
        <color rgb="FF000000"/>
        <rFont val="Times New Roman"/>
        <family val="1"/>
      </rPr>
      <t>ntretien et nettoyage de l’environnement des services de soins</t>
    </r>
  </si>
  <si>
    <t>Respect du chronogramme</t>
  </si>
  <si>
    <t>Lenteur administrative</t>
  </si>
  <si>
    <t>CHUMEL</t>
  </si>
  <si>
    <t>da Sylva Raymond</t>
  </si>
  <si>
    <t>raymond08sg@gmail.com</t>
  </si>
  <si>
    <t>disposer de tank</t>
  </si>
  <si>
    <t>Revue documentaire</t>
  </si>
  <si>
    <t>4-Surveillance des IAS</t>
  </si>
  <si>
    <t xml:space="preserve">4-1 Mettre en place un système de surveillance des infections </t>
  </si>
  <si>
    <t>5. Stratégies multimodales</t>
  </si>
  <si>
    <t>6-Surveillance/audit des pratiques de PCI et retours d'information</t>
  </si>
  <si>
    <t>7-Charge de travail, dotation en personnel et occupation des lits</t>
  </si>
  <si>
    <t xml:space="preserve">6-2 Inexistence d'indicateurs pour la gestion  des déchets </t>
  </si>
  <si>
    <t>Mettre en place un mécanisme de surveillance des indicateurs de gestion des déchets</t>
  </si>
  <si>
    <t>exigences de tracabilité</t>
  </si>
  <si>
    <t>Mobilisation des ressources fiancières</t>
  </si>
  <si>
    <t>Mobilisation des ressources financières</t>
  </si>
  <si>
    <t>Mobilisation des ressources financères</t>
  </si>
  <si>
    <t>1- Programme PCI</t>
  </si>
  <si>
    <t>2-Directives sur la PCI</t>
  </si>
  <si>
    <t>3- Education et formation en PCI</t>
  </si>
  <si>
    <t xml:space="preserve"> 8-Environnement bâti, matériel et équipement pour la PCI</t>
  </si>
  <si>
    <t>1.2 Allocation d’un budget identifié, protégé et suffisant activités de la PCI</t>
  </si>
  <si>
    <t>1.1 Elaboration, validation, approbation et mise en œuvre du plan PCI</t>
  </si>
  <si>
    <t>5-1 Les stratégies multimodales  ne sont pas connues et il n’y a pas une sensibilisation, ni un engagement pour son utilisation pour la mise en œuvre des interventions de la PCI connaissance et de valorisation d’une stratégie multimodal.</t>
  </si>
  <si>
    <t>5-2 Des stratégies multimodales utilisées pour la mise en œuvre des interventions de la PCI, n’incluent pas l’un ou l’ensemble des éléments suivants : Changement du système - Education et formation - Suivi et restitution des résultats - Communications et rappels - Climat de sécurité et changement de culture.</t>
  </si>
  <si>
    <t>Nommer un  point focal PCI</t>
  </si>
  <si>
    <t>Définir un  cahier de charge de l'EOPCI</t>
  </si>
  <si>
    <t>Doter l'unité d'équipement et de fournitures  de bureau et d'informatiques</t>
  </si>
  <si>
    <t xml:space="preserve">Approuver le plan élaboré selon les exigences de l'OMS;          </t>
  </si>
  <si>
    <t>Organiser une séance de validation du  plan PCI</t>
  </si>
  <si>
    <t>Disséminer le plan PCI</t>
  </si>
  <si>
    <t>intégrer le  plan PCI élaboré au PTA</t>
  </si>
  <si>
    <t xml:space="preserve">valider les POS </t>
  </si>
  <si>
    <t>Dissémer les nouvelles POS</t>
  </si>
  <si>
    <t>Mettre en place d'un plan de formation sur la PCI pour le personnel</t>
  </si>
  <si>
    <t>Mettre en œuvre du plan de formation</t>
  </si>
  <si>
    <t>Élaborer la description de tâches de chaque agent</t>
  </si>
  <si>
    <t>entretenir  régulierement les tanks</t>
  </si>
  <si>
    <t>planification de l'entretien des tanks</t>
  </si>
  <si>
    <t xml:space="preserve">6-4 Inexistence d’indicateurs pour la surveillance :
Entretien et nettoyage de l’environnement des services de soins 
</t>
  </si>
  <si>
    <t>Integrer  l'approche de la stratégie multimodale pour toutes les activités de la PCI ( Changement du système - Education et formation - Suivi et restitution des résultats - Communications et rappels - Climat de sécurité et changement de culture)</t>
  </si>
  <si>
    <t>faire la restitution du présent atelier</t>
  </si>
  <si>
    <t>Mettre en œuvre du plan validé</t>
  </si>
  <si>
    <t xml:space="preserve">Faire une relecture des lignes directrices existantes conformément aux normes de l'OMS </t>
  </si>
  <si>
    <t xml:space="preserve">lenteur dans l'expression des besoins </t>
  </si>
  <si>
    <t xml:space="preserve">3.1. Formation du personnel sur la PCI </t>
  </si>
  <si>
    <t>Relancement du plaidoyer à l'endroit des PTF et de l'administration</t>
  </si>
  <si>
    <t xml:space="preserve"> Elaborer le  budget PCI</t>
  </si>
  <si>
    <t xml:space="preserve">intégrer le  budget PCI élaboré au PTA de l'hôpital </t>
  </si>
  <si>
    <t xml:space="preserve">2.1. Elaboration les procédures opérationnelles standardisées sur la PCI à partir de normes nationales </t>
  </si>
  <si>
    <t>Elaborer / adapter les POS manquantes</t>
  </si>
  <si>
    <t>insuffisance humaines et financières /inexistence de données</t>
  </si>
  <si>
    <t xml:space="preserve">6.1. Inexistence d'indicateurs de Pose et / ou gestion des cathéters intravasculaires </t>
  </si>
  <si>
    <t xml:space="preserve">Indisponiblité des acteurs/meconnaissance d'un plan de maintenance </t>
  </si>
  <si>
    <t>inexistence de données/méconnaissance de notion d'indicateur</t>
  </si>
  <si>
    <t xml:space="preserve">Interférence des activités/lenteur administrative </t>
  </si>
  <si>
    <t xml:space="preserve">Méconnaissance des attributions/lenteur administrative </t>
  </si>
  <si>
    <t>indisponibilté des acteurs /lenteur administrative/</t>
  </si>
  <si>
    <t>respect du chronogramme</t>
  </si>
  <si>
    <t>indisponibilité de ressources financières</t>
  </si>
  <si>
    <t>mobilisation de ressources</t>
  </si>
  <si>
    <t>formaliser un plan PCI  aux normes de l'OMS</t>
  </si>
  <si>
    <t>indisponibilité des acteurs</t>
  </si>
  <si>
    <t>Planification des activités/respect du chronogramme</t>
  </si>
  <si>
    <t>Interférence des activités/lenteur administrative</t>
  </si>
  <si>
    <t>briefing sur le remplissage</t>
  </si>
  <si>
    <t>manque d'engagement</t>
  </si>
  <si>
    <t>manque d'engagement/motivation</t>
  </si>
  <si>
    <t>sensibilisation /motivation</t>
  </si>
  <si>
    <t>respect des normes</t>
  </si>
  <si>
    <t>mettre en place d'un système d'acceuil lorsque les capacités d’accueil sont dépassées</t>
  </si>
  <si>
    <t>8.1.indisponibilité permanente d'eau</t>
  </si>
  <si>
    <t>PLAN OPERATIONNEL PCI</t>
  </si>
  <si>
    <t>Objectifs stratégiques</t>
  </si>
  <si>
    <t>Activité/Sous-activité</t>
  </si>
  <si>
    <t>Responsabilité</t>
  </si>
  <si>
    <t>Délai d’exécution</t>
  </si>
  <si>
    <t>Indicateurs</t>
  </si>
  <si>
    <t>Source de financement</t>
  </si>
  <si>
    <t>De base</t>
  </si>
  <si>
    <t>Cible</t>
  </si>
  <si>
    <t>Néant</t>
  </si>
  <si>
    <t>FP</t>
  </si>
  <si>
    <t>Plan approuvé</t>
  </si>
  <si>
    <t>POS existant</t>
  </si>
  <si>
    <t xml:space="preserve">DG </t>
  </si>
  <si>
    <t>Point focal</t>
  </si>
  <si>
    <t>note de nomination</t>
  </si>
  <si>
    <t>cahier de charge  approuvé</t>
  </si>
  <si>
    <t>Fin juillet 2023</t>
  </si>
  <si>
    <t>PITA de la PCI 2024</t>
  </si>
  <si>
    <t>Budget 2024 voté</t>
  </si>
  <si>
    <t>POS  revues</t>
  </si>
  <si>
    <t>2- lignes directrices</t>
  </si>
  <si>
    <t>3-  Education et formation en PCI</t>
  </si>
  <si>
    <t xml:space="preserve">6. Absence de collecte d'indicateurs de Pose et / ou gestion des cathéters intravasculaires </t>
  </si>
  <si>
    <t xml:space="preserve">6-2 Absence de documentation d'indicateurs pour la gestion  des déchets </t>
  </si>
  <si>
    <t xml:space="preserve">Appropriation de  l'indicateur </t>
  </si>
  <si>
    <t>suivi du remplissage  de l'indicateur</t>
  </si>
  <si>
    <t>Rapport de restitution</t>
  </si>
  <si>
    <t>Borderau de dissemination</t>
  </si>
  <si>
    <t>Rapport de formation et liste de présence</t>
  </si>
  <si>
    <t xml:space="preserve">Indicateurs renseignés </t>
  </si>
  <si>
    <t>Approprier l'indicateur                                    Mettre en place les outils de collecte               Brieffer le personnel sur le remplissage correct                                                           Faire le suivi du remplissage                          Analyser les resultats                                    Faire le feedback                                           Prendre des décision</t>
  </si>
  <si>
    <r>
      <rPr>
        <b/>
        <sz val="11"/>
        <color theme="1"/>
        <rFont val="Calibri"/>
        <family val="2"/>
        <scheme val="minor"/>
      </rPr>
      <t xml:space="preserve">Disséminer le plan PCI         </t>
    </r>
    <r>
      <rPr>
        <sz val="11"/>
        <color theme="1"/>
        <rFont val="Calibri"/>
        <family val="2"/>
        <scheme val="minor"/>
      </rPr>
      <t xml:space="preserve">                                     1- Multiplier le Plan PCI</t>
    </r>
  </si>
  <si>
    <t>Besoins exprimés et pris en compte</t>
  </si>
  <si>
    <t>TDR approuvés</t>
  </si>
  <si>
    <t>IG</t>
  </si>
  <si>
    <t>PCI validé</t>
  </si>
  <si>
    <r>
      <rPr>
        <b/>
        <sz val="11"/>
        <color theme="1"/>
        <rFont val="Calibri"/>
        <family val="2"/>
        <scheme val="minor"/>
      </rPr>
      <t>Définir un  cahier de charge de l'EOPCI</t>
    </r>
    <r>
      <rPr>
        <sz val="11"/>
        <color theme="1"/>
        <rFont val="Calibri"/>
        <family val="2"/>
        <scheme val="minor"/>
      </rPr>
      <t xml:space="preserve">             1-Elaborer le projet de cahier de charge                      2- Valider le projet de cahier de charge                            3- Approuver le cahier de charge </t>
    </r>
  </si>
  <si>
    <t xml:space="preserve">Faire la restitution du présent atelier                </t>
  </si>
  <si>
    <r>
      <t xml:space="preserve"> </t>
    </r>
    <r>
      <rPr>
        <b/>
        <sz val="11"/>
        <color theme="1"/>
        <rFont val="Calibri"/>
        <family val="2"/>
        <scheme val="minor"/>
      </rPr>
      <t xml:space="preserve">Elaborer le  budget PCI        </t>
    </r>
    <r>
      <rPr>
        <sz val="11"/>
        <color theme="1"/>
        <rFont val="Calibri"/>
        <family val="2"/>
        <scheme val="minor"/>
      </rPr>
      <t xml:space="preserve">                                    1- Exprimer les besoins (2024)                                         2-Envoyer les expressions de besoins à l'Administration                                                                                                              </t>
    </r>
  </si>
  <si>
    <t>Intégrer au  PITA 2024 du CHU-MEL</t>
  </si>
  <si>
    <t>EOPCI</t>
  </si>
  <si>
    <t xml:space="preserve">6-3 Absence d’indicateurs pour 
l'entretien et nettoyage de l’environnement des services de soins 
</t>
  </si>
  <si>
    <r>
      <rPr>
        <b/>
        <sz val="11"/>
        <rFont val="Calibri"/>
        <family val="2"/>
        <scheme val="minor"/>
      </rPr>
      <t xml:space="preserve">Faire une relecture des lignes directrices existantes conformément aux normes de l'OMS  
</t>
    </r>
    <r>
      <rPr>
        <sz val="11"/>
        <rFont val="Calibri"/>
        <family val="2"/>
        <scheme val="minor"/>
      </rPr>
      <t>1- Adapter à notre contexte
2-  Briefer le personnel</t>
    </r>
    <r>
      <rPr>
        <b/>
        <sz val="1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sz val="11"/>
        <rFont val="Calibri"/>
        <family val="2"/>
        <scheme val="minor"/>
      </rPr>
      <t>1-Mettre à disposition les POS</t>
    </r>
  </si>
  <si>
    <r>
      <rPr>
        <b/>
        <sz val="11"/>
        <color theme="1"/>
        <rFont val="Calibri"/>
        <family val="2"/>
        <scheme val="minor"/>
      </rPr>
      <t xml:space="preserve">Mettre en œuvre le plan de formation             </t>
    </r>
    <r>
      <rPr>
        <sz val="11"/>
        <color theme="1"/>
        <rFont val="Calibri"/>
        <family val="2"/>
        <scheme val="minor"/>
      </rPr>
      <t>1-Prendre une note de service
2-Préparer les outlis de formation(catable; cahier,bic et crayon……)
3- Pause café et deujener 
4-Payer l'expert</t>
    </r>
  </si>
  <si>
    <r>
      <rPr>
        <b/>
        <sz val="11"/>
        <color theme="1"/>
        <rFont val="Calibri"/>
        <family val="2"/>
        <scheme val="minor"/>
      </rPr>
      <t xml:space="preserve">Mettre en place un plan de formation sur la PCI pour le personnel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1-Préparer  les TDR 
2-Identifier la cible   
3-Inviter un expert                                                  </t>
    </r>
  </si>
  <si>
    <t>1-Approprier l'indicateur                                   
 2-Mettre en place les outils de collecte              
 3-Briefer le personnel sur le remplissage correct                                                           
4-Faire le suivi du remplissage
5-Analyser les resultats
6-Faire le feedback
7-Prendre des décision</t>
  </si>
  <si>
    <t>1-Amender le plan PCI
2- Valider le plan PCI</t>
  </si>
  <si>
    <t>Moyens</t>
  </si>
  <si>
    <t>Résultats</t>
  </si>
  <si>
    <t>RH; F/ture de bureau</t>
  </si>
  <si>
    <t>Point focal nommé</t>
  </si>
  <si>
    <t xml:space="preserve">RH; F/ture de bureau, Ressources Financières </t>
  </si>
  <si>
    <t xml:space="preserve">                                                                                                                                                            BUDGET PAO</t>
  </si>
  <si>
    <t>Activités/Sous activités</t>
  </si>
  <si>
    <t>Catégorie des couts</t>
  </si>
  <si>
    <t>Quantité</t>
  </si>
  <si>
    <t>Fréquence</t>
  </si>
  <si>
    <t>Coûts unitaires XOF</t>
  </si>
  <si>
    <t>Coût totaux en XOF</t>
  </si>
  <si>
    <t>Commentaire</t>
  </si>
  <si>
    <t>Fonds propre</t>
  </si>
  <si>
    <t xml:space="preserve">Sous total 1.3. </t>
  </si>
  <si>
    <t>RH</t>
  </si>
  <si>
    <t>RH; matériels</t>
  </si>
  <si>
    <t xml:space="preserve">RH; F/ture de bureau, </t>
  </si>
  <si>
    <t>Rapport de validation du PCI</t>
  </si>
  <si>
    <t xml:space="preserve">Visa du DG </t>
  </si>
  <si>
    <t>Budget élaboré</t>
  </si>
  <si>
    <t>PITA 2024 intégré</t>
  </si>
  <si>
    <t>Plan de formation disponible</t>
  </si>
  <si>
    <t>1-Approprier l'indicateur                                   
2-Mettre en place les outils de collecte              
3-Briefer le personnel sur le remplissage correct                                                           
4-Faire le suivi du remplissage
5-Analyser les resultats
6-Faire le feedback
7-Prendre des décisions</t>
  </si>
  <si>
    <t>1.1.2. Amender/Valider le plan PCI</t>
  </si>
  <si>
    <t xml:space="preserve">1.1.4. Vulgariser le plan PCI                                             </t>
  </si>
  <si>
    <t>1.1.5. Nommer un  point focal PCI</t>
  </si>
  <si>
    <t>Ressources financières</t>
  </si>
  <si>
    <t>Forfait</t>
  </si>
  <si>
    <t>Deux registres par service</t>
  </si>
  <si>
    <t>Sous total 1.1</t>
  </si>
  <si>
    <t>Total général</t>
  </si>
  <si>
    <t>Pause café</t>
  </si>
  <si>
    <t>Maitrise du cahier de charge</t>
  </si>
  <si>
    <t>Sous total 1.2</t>
  </si>
  <si>
    <t>1.2. Définir un  cahier de charge de l'EOPCI</t>
  </si>
  <si>
    <t xml:space="preserve">1.2.1. Elaborer le projet de cahier de charge   </t>
  </si>
  <si>
    <t xml:space="preserve">1.2.3.  Approuver le cahier de charge </t>
  </si>
  <si>
    <t xml:space="preserve">1.2.2. Valider le projet de cahier de charge    </t>
  </si>
  <si>
    <t xml:space="preserve">1.3. Elaborer le  budget PCI     </t>
  </si>
  <si>
    <t xml:space="preserve">1.3.1. Exprimer les besoins (2024)       </t>
  </si>
  <si>
    <t xml:space="preserve">1.3.2. Envoyer les expressions de besoins à l'Administration        </t>
  </si>
  <si>
    <t>1.4. Faire une relecture des lignes directrices existantes conformément aux normes de l'OMS</t>
  </si>
  <si>
    <t>1.4.1 .Adapter à notre contexte</t>
  </si>
  <si>
    <t xml:space="preserve">1.4.2. Briefer le personnel   </t>
  </si>
  <si>
    <t>1.4.3.Mettre à disposition les POS</t>
  </si>
  <si>
    <t>Sous total 1.4</t>
  </si>
  <si>
    <t>1.1.1. Restitution de l'atelier</t>
  </si>
  <si>
    <t xml:space="preserve">1.1.3. Approuver le plan élaboré selon les exigences de l'OMS          </t>
  </si>
  <si>
    <t>Fournitures de bureau</t>
  </si>
  <si>
    <t>Fourniturse de bureau</t>
  </si>
  <si>
    <t>Fourntures de bureau</t>
  </si>
  <si>
    <t>Borderau de dissémination</t>
  </si>
  <si>
    <t>Restitution éffectuée</t>
  </si>
  <si>
    <t>procédures élaborées</t>
  </si>
  <si>
    <t>Plan disséminé</t>
  </si>
  <si>
    <t>Personnel formé</t>
  </si>
  <si>
    <t xml:space="preserve">2.1. Mettre en place un plan de formation sur la PCI pour le personnel </t>
  </si>
  <si>
    <t>2.1.1. Préparer  les TDR</t>
  </si>
  <si>
    <t xml:space="preserve">1.2.2. Identifier la cible  </t>
  </si>
  <si>
    <t>Sous total 2.1</t>
  </si>
  <si>
    <t xml:space="preserve">2.2.  Mettre en œuvre le plan de formation  </t>
  </si>
  <si>
    <t>2.2.1. Prendre une note de service</t>
  </si>
  <si>
    <t>2.2.2. Préparer les outlis de formation(catable; cahier,bic et crayon……)</t>
  </si>
  <si>
    <t>2.2.3.Pause café amélioré</t>
  </si>
  <si>
    <t xml:space="preserve">2.2.4.Inviter un expert    </t>
  </si>
  <si>
    <t>Sous total 2.2</t>
  </si>
  <si>
    <t xml:space="preserve">6.1. Approprier l'indicateur     </t>
  </si>
  <si>
    <t xml:space="preserve">6.2. Mettre en place les outils de collecte </t>
  </si>
  <si>
    <t>6.3 Briefer le personnel sur le remplissage correct</t>
  </si>
  <si>
    <t>6.4 .Faire le suivi du remplissage</t>
  </si>
  <si>
    <t>6.5. Analyser les resultats</t>
  </si>
  <si>
    <t>6.6. Faire le feedback</t>
  </si>
  <si>
    <t>6.7. Prendre des décisions</t>
  </si>
  <si>
    <t>Sous total 6</t>
  </si>
  <si>
    <t>Fin Mars 2024</t>
  </si>
  <si>
    <t>fin juin 2024</t>
  </si>
  <si>
    <t>Fin juillet 2024</t>
  </si>
  <si>
    <t>fin avril 2024</t>
  </si>
  <si>
    <t>Fin août 2024</t>
  </si>
  <si>
    <t>Fin décembre 2024</t>
  </si>
  <si>
    <t>Fin octobre 2024</t>
  </si>
  <si>
    <t>Fin novembre 2024</t>
  </si>
  <si>
    <t>Juin 2024</t>
  </si>
  <si>
    <t xml:space="preserve">Faire une expression de besoin pour l'unité en équipements et fournitures  de bureau </t>
  </si>
  <si>
    <t>Fin septembre 2024</t>
  </si>
  <si>
    <t>Besoin exprimé</t>
  </si>
  <si>
    <t>Collectif 2024</t>
  </si>
  <si>
    <t>Plan PCI élaboré</t>
  </si>
  <si>
    <t>Plan PCI formalisé</t>
  </si>
  <si>
    <t>Plan PCI validé</t>
  </si>
  <si>
    <t>Plan PCI disséminé</t>
  </si>
  <si>
    <t>point focal/DAF</t>
  </si>
  <si>
    <t>Plan PCI validé intégré</t>
  </si>
  <si>
    <t>Mettre en œuvre le plan validé</t>
  </si>
  <si>
    <t>Rapports d'activité</t>
  </si>
  <si>
    <t xml:space="preserve">2.1. Elaborer les procédures opérationnelles standardisées sur la PCI à partir de normes nationales </t>
  </si>
  <si>
    <r>
      <rPr>
        <b/>
        <sz val="11"/>
        <color theme="1"/>
        <rFont val="Calibri"/>
        <family val="2"/>
        <scheme val="minor"/>
      </rPr>
      <t xml:space="preserve">3-1.1Mettre en place un plan de formation sur la PCI pour le personnel                                                   </t>
    </r>
    <r>
      <rPr>
        <sz val="11"/>
        <color theme="1"/>
        <rFont val="Calibri"/>
        <family val="2"/>
        <scheme val="minor"/>
      </rPr>
      <t xml:space="preserve">                                                   3-1-1-1-Préparer  les TDR 
3-1-1-2-Identifier la cible   
3-1-1-3-Inviter un expert                                                  </t>
    </r>
  </si>
  <si>
    <r>
      <rPr>
        <b/>
        <sz val="11"/>
        <color theme="1"/>
        <rFont val="Calibri"/>
        <family val="2"/>
        <scheme val="minor"/>
      </rPr>
      <t>3 -1.2 Mettre en œuvre le plan de formation             
3-1-2-</t>
    </r>
    <r>
      <rPr>
        <sz val="11"/>
        <color theme="1"/>
        <rFont val="Calibri"/>
        <family val="2"/>
        <scheme val="minor"/>
      </rPr>
      <t>1-Prendre une note de service
3-1-2-2-Préparer les outlis de formation(catable; cahier,bic et crayon……)
3-1-2-3- Pause café et deujener 
3-1-2-4-Payer l'expert</t>
    </r>
  </si>
  <si>
    <t>OEPCI</t>
  </si>
  <si>
    <t xml:space="preserve">
Valider le PTA PCI/CLIN</t>
  </si>
  <si>
    <t>Renouveller le CLIN</t>
  </si>
  <si>
    <t>Renouvelle l'EOPCI</t>
  </si>
  <si>
    <t>Note de service</t>
  </si>
  <si>
    <r>
      <rPr>
        <b/>
        <sz val="11"/>
        <color theme="1"/>
        <rFont val="Calibri"/>
        <family val="2"/>
        <scheme val="minor"/>
      </rPr>
      <t xml:space="preserve">Disséminer le PTA PCI au CLIN        </t>
    </r>
    <r>
      <rPr>
        <sz val="11"/>
        <color theme="1"/>
        <rFont val="Calibri"/>
        <family val="2"/>
        <scheme val="minor"/>
      </rPr>
      <t xml:space="preserve">                                     1- Multiplier le Plan PCI</t>
    </r>
  </si>
  <si>
    <t>Reviser la note nommant le point focal PCI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</si>
</sst>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00000"/>
    <numFmt numFmtId="166" formatCode="_-* #,##0\ _€_-;\-* #,##0\ _€_-;_-* &quot;-&quot;??\ _€_-;_-@_-"/>
  </numFmts>
  <fonts count="20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boto Lt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Calibri"/>
      <family val="2"/>
      <scheme val="minor"/>
    </font>
    <font>
      <sz val="16"/>
      <color theme="1"/>
      <name val="Arial Narrow"/>
      <family val="2"/>
    </font>
    <font>
      <b/>
      <sz val="16"/>
      <color theme="1"/>
      <name val="Arial Narrow"/>
      <family val="2"/>
    </font>
    <font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/>
      <diagonal/>
    </border>
    <border>
      <left style="thin">
        <color theme="5" tint="-0.249977111117893"/>
      </left>
      <right/>
      <top style="thin">
        <color theme="5" tint="-0.249977111117893"/>
      </top>
      <bottom/>
      <diagonal/>
    </border>
    <border>
      <left/>
      <right style="thin">
        <color theme="5" tint="-0.249977111117893"/>
      </right>
      <top/>
      <bottom/>
      <diagonal/>
    </border>
    <border>
      <left style="thin">
        <color theme="5" tint="-0.249977111117893"/>
      </left>
      <right style="thin">
        <color theme="5" tint="-0.249977111117893"/>
      </right>
      <top/>
      <bottom/>
      <diagonal/>
    </border>
    <border>
      <left style="thin">
        <color theme="5" tint="-0.249977111117893"/>
      </left>
      <right/>
      <top/>
      <bottom/>
      <diagonal/>
    </border>
    <border>
      <left style="thin">
        <color indexed="1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9" tint="-0.249977111117893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0" fillId="0" borderId="0"/>
    <xf numFmtId="0" fontId="13" fillId="0" borderId="0" applyNumberForma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</cellStyleXfs>
  <cellXfs count="19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11" fillId="0" borderId="0" xfId="0" applyFont="1" applyAlignment="1">
      <alignment wrapText="1"/>
    </xf>
    <xf numFmtId="0" fontId="0" fillId="0" borderId="0" xfId="0" applyAlignment="1">
      <alignment horizontal="center"/>
    </xf>
    <xf numFmtId="14" fontId="0" fillId="3" borderId="1" xfId="0" applyNumberFormat="1" applyFill="1" applyBorder="1" applyAlignment="1">
      <alignment horizontal="left"/>
    </xf>
    <xf numFmtId="0" fontId="0" fillId="0" borderId="1" xfId="0" quotePrefix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13" fillId="3" borderId="1" xfId="3" applyFill="1" applyBorder="1" applyAlignment="1">
      <alignment horizontal="left"/>
    </xf>
    <xf numFmtId="0" fontId="0" fillId="0" borderId="0" xfId="0" applyAlignment="1">
      <alignment horizontal="left"/>
    </xf>
    <xf numFmtId="0" fontId="4" fillId="2" borderId="1" xfId="0" applyFont="1" applyFill="1" applyBorder="1" applyAlignment="1">
      <alignment horizontal="left" vertical="center"/>
    </xf>
    <xf numFmtId="0" fontId="2" fillId="0" borderId="1" xfId="1" applyBorder="1" applyAlignment="1">
      <alignment horizontal="left" vertical="center" wrapText="1"/>
    </xf>
    <xf numFmtId="16" fontId="2" fillId="0" borderId="1" xfId="1" applyNumberForma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/>
    </xf>
    <xf numFmtId="0" fontId="9" fillId="0" borderId="1" xfId="0" quotePrefix="1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49" fontId="0" fillId="5" borderId="1" xfId="0" quotePrefix="1" applyNumberFormat="1" applyFill="1" applyBorder="1" applyAlignment="1">
      <alignment horizontal="left" vertical="center" wrapText="1"/>
    </xf>
    <xf numFmtId="49" fontId="0" fillId="5" borderId="1" xfId="0" quotePrefix="1" applyNumberFormat="1" applyFill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49" fontId="0" fillId="5" borderId="5" xfId="0" quotePrefix="1" applyNumberFormat="1" applyFill="1" applyBorder="1" applyAlignment="1">
      <alignment horizontal="left" vertical="center" wrapText="1"/>
    </xf>
    <xf numFmtId="49" fontId="0" fillId="5" borderId="5" xfId="0" quotePrefix="1" applyNumberFormat="1" applyFill="1" applyBorder="1" applyAlignment="1">
      <alignment vertical="center" wrapText="1"/>
    </xf>
    <xf numFmtId="49" fontId="9" fillId="5" borderId="1" xfId="0" applyNumberFormat="1" applyFont="1" applyFill="1" applyBorder="1" applyAlignment="1">
      <alignment horizontal="left" vertical="center" wrapText="1"/>
    </xf>
    <xf numFmtId="0" fontId="10" fillId="0" borderId="15" xfId="4" applyBorder="1" applyAlignment="1">
      <alignment horizontal="center" vertical="center" wrapText="1"/>
    </xf>
    <xf numFmtId="0" fontId="10" fillId="0" borderId="1" xfId="4" applyBorder="1" applyAlignment="1">
      <alignment horizontal="center" vertical="center" wrapText="1"/>
    </xf>
    <xf numFmtId="0" fontId="0" fillId="0" borderId="14" xfId="4" quotePrefix="1" applyFont="1" applyBorder="1" applyAlignment="1">
      <alignment horizontal="center" vertical="center" wrapText="1"/>
    </xf>
    <xf numFmtId="0" fontId="0" fillId="0" borderId="15" xfId="4" applyFont="1" applyBorder="1" applyAlignment="1">
      <alignment horizontal="center" vertical="center" wrapText="1"/>
    </xf>
    <xf numFmtId="0" fontId="0" fillId="0" borderId="1" xfId="4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4" applyNumberFormat="1" applyFont="1" applyBorder="1" applyAlignment="1">
      <alignment horizontal="left"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1" xfId="4" applyNumberFormat="1" applyFont="1" applyBorder="1" applyAlignment="1">
      <alignment vertical="center" wrapText="1"/>
    </xf>
    <xf numFmtId="49" fontId="9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0" fillId="0" borderId="16" xfId="4" quotePrefix="1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9" fontId="0" fillId="5" borderId="1" xfId="4" applyNumberFormat="1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left" vertical="center" wrapText="1"/>
    </xf>
    <xf numFmtId="165" fontId="0" fillId="0" borderId="1" xfId="4" applyNumberFormat="1" applyFont="1" applyBorder="1" applyAlignment="1">
      <alignment horizontal="left" vertical="center" wrapText="1"/>
    </xf>
    <xf numFmtId="165" fontId="0" fillId="0" borderId="1" xfId="0" applyNumberFormat="1" applyBorder="1" applyAlignment="1">
      <alignment vertical="center" wrapText="1"/>
    </xf>
    <xf numFmtId="165" fontId="0" fillId="0" borderId="1" xfId="4" applyNumberFormat="1" applyFont="1" applyBorder="1" applyAlignment="1">
      <alignment vertical="center" wrapText="1"/>
    </xf>
    <xf numFmtId="49" fontId="0" fillId="5" borderId="17" xfId="0" applyNumberFormat="1" applyFill="1" applyBorder="1" applyAlignment="1">
      <alignment vertical="center" wrapText="1"/>
    </xf>
    <xf numFmtId="165" fontId="9" fillId="0" borderId="1" xfId="0" applyNumberFormat="1" applyFont="1" applyBorder="1" applyAlignment="1">
      <alignment horizontal="left" vertical="center" wrapText="1"/>
    </xf>
    <xf numFmtId="0" fontId="3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66" fontId="18" fillId="0" borderId="1" xfId="5" applyNumberFormat="1" applyFont="1" applyBorder="1" applyAlignment="1">
      <alignment horizontal="center" vertical="center" wrapText="1"/>
    </xf>
    <xf numFmtId="0" fontId="18" fillId="0" borderId="1" xfId="5" applyNumberFormat="1" applyFont="1" applyBorder="1" applyAlignment="1">
      <alignment horizontal="center" vertical="center" wrapText="1"/>
    </xf>
    <xf numFmtId="3" fontId="18" fillId="0" borderId="1" xfId="5" applyNumberFormat="1" applyFont="1" applyBorder="1" applyAlignment="1">
      <alignment horizontal="center" vertical="center"/>
    </xf>
    <xf numFmtId="3" fontId="18" fillId="0" borderId="1" xfId="5" applyNumberFormat="1" applyFont="1" applyBorder="1" applyAlignment="1">
      <alignment horizontal="center" vertical="center" wrapText="1"/>
    </xf>
    <xf numFmtId="166" fontId="17" fillId="0" borderId="1" xfId="5" applyNumberFormat="1" applyFont="1" applyBorder="1" applyAlignment="1">
      <alignment horizontal="left" vertical="center" wrapText="1"/>
    </xf>
    <xf numFmtId="0" fontId="17" fillId="0" borderId="1" xfId="5" applyNumberFormat="1" applyFont="1" applyBorder="1" applyAlignment="1">
      <alignment horizontal="right" vertical="center" wrapText="1"/>
    </xf>
    <xf numFmtId="3" fontId="17" fillId="0" borderId="1" xfId="5" applyNumberFormat="1" applyFont="1" applyBorder="1" applyAlignment="1">
      <alignment horizontal="right" vertical="center"/>
    </xf>
    <xf numFmtId="166" fontId="18" fillId="0" borderId="1" xfId="5" applyNumberFormat="1" applyFont="1" applyBorder="1" applyAlignment="1">
      <alignment horizontal="left" vertical="center" wrapText="1"/>
    </xf>
    <xf numFmtId="166" fontId="18" fillId="9" borderId="1" xfId="5" applyNumberFormat="1" applyFont="1" applyFill="1" applyBorder="1" applyAlignment="1">
      <alignment horizontal="left" vertical="center" wrapText="1"/>
    </xf>
    <xf numFmtId="0" fontId="18" fillId="9" borderId="1" xfId="5" applyNumberFormat="1" applyFont="1" applyFill="1" applyBorder="1" applyAlignment="1">
      <alignment horizontal="left" vertical="center" wrapText="1"/>
    </xf>
    <xf numFmtId="3" fontId="18" fillId="9" borderId="1" xfId="5" applyNumberFormat="1" applyFont="1" applyFill="1" applyBorder="1" applyAlignment="1">
      <alignment horizontal="right" vertical="center"/>
    </xf>
    <xf numFmtId="3" fontId="17" fillId="9" borderId="1" xfId="5" applyNumberFormat="1" applyFont="1" applyFill="1" applyBorder="1" applyAlignment="1">
      <alignment horizontal="right" vertical="center"/>
    </xf>
    <xf numFmtId="166" fontId="17" fillId="9" borderId="1" xfId="5" applyNumberFormat="1" applyFont="1" applyFill="1" applyBorder="1" applyAlignment="1">
      <alignment horizontal="left" vertical="center"/>
    </xf>
    <xf numFmtId="166" fontId="17" fillId="0" borderId="1" xfId="5" applyNumberFormat="1" applyFont="1" applyBorder="1" applyAlignment="1">
      <alignment vertical="top" wrapText="1"/>
    </xf>
    <xf numFmtId="3" fontId="17" fillId="6" borderId="1" xfId="5" applyNumberFormat="1" applyFont="1" applyFill="1" applyBorder="1" applyAlignment="1">
      <alignment horizontal="right" vertical="center"/>
    </xf>
    <xf numFmtId="166" fontId="17" fillId="6" borderId="1" xfId="5" applyNumberFormat="1" applyFont="1" applyFill="1" applyBorder="1" applyAlignment="1">
      <alignment horizontal="left" vertical="center"/>
    </xf>
    <xf numFmtId="166" fontId="19" fillId="6" borderId="1" xfId="5" applyNumberFormat="1" applyFont="1" applyFill="1" applyBorder="1" applyAlignment="1">
      <alignment horizontal="left" vertical="center" wrapText="1"/>
    </xf>
    <xf numFmtId="166" fontId="17" fillId="6" borderId="1" xfId="5" applyNumberFormat="1" applyFont="1" applyFill="1" applyBorder="1" applyAlignment="1">
      <alignment horizontal="left" vertical="center" wrapText="1"/>
    </xf>
    <xf numFmtId="0" fontId="17" fillId="0" borderId="1" xfId="5" applyNumberFormat="1" applyFont="1" applyBorder="1" applyAlignment="1">
      <alignment horizontal="right" vertical="center"/>
    </xf>
    <xf numFmtId="0" fontId="18" fillId="9" borderId="1" xfId="5" applyNumberFormat="1" applyFont="1" applyFill="1" applyBorder="1" applyAlignment="1">
      <alignment horizontal="right" vertical="center" wrapText="1"/>
    </xf>
    <xf numFmtId="0" fontId="17" fillId="6" borderId="1" xfId="5" applyNumberFormat="1" applyFont="1" applyFill="1" applyBorder="1" applyAlignment="1">
      <alignment horizontal="right" vertical="center" wrapText="1"/>
    </xf>
    <xf numFmtId="166" fontId="17" fillId="0" borderId="1" xfId="5" applyNumberFormat="1" applyFont="1" applyBorder="1" applyAlignment="1">
      <alignment vertical="center" wrapText="1"/>
    </xf>
    <xf numFmtId="166" fontId="17" fillId="0" borderId="6" xfId="5" applyNumberFormat="1" applyFont="1" applyBorder="1" applyAlignment="1">
      <alignment horizontal="left" vertical="center" wrapText="1"/>
    </xf>
    <xf numFmtId="0" fontId="3" fillId="7" borderId="0" xfId="0" applyFont="1" applyFill="1" applyAlignment="1">
      <alignment horizontal="center" vertical="center" wrapText="1"/>
    </xf>
    <xf numFmtId="0" fontId="14" fillId="0" borderId="5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49" fontId="10" fillId="5" borderId="0" xfId="4" applyNumberFormat="1" applyFill="1" applyAlignment="1">
      <alignment horizontal="center" vertical="center"/>
    </xf>
    <xf numFmtId="0" fontId="0" fillId="0" borderId="1" xfId="0" applyBorder="1" applyAlignment="1">
      <alignment wrapText="1"/>
    </xf>
    <xf numFmtId="0" fontId="3" fillId="0" borderId="1" xfId="4" applyFont="1" applyBorder="1" applyAlignment="1">
      <alignment vertical="center"/>
    </xf>
    <xf numFmtId="14" fontId="0" fillId="3" borderId="1" xfId="0" applyNumberFormat="1" applyFill="1" applyBorder="1" applyAlignment="1">
      <alignment horizontal="left" vertical="center"/>
    </xf>
    <xf numFmtId="165" fontId="10" fillId="0" borderId="0" xfId="4" applyNumberFormat="1" applyAlignment="1">
      <alignment vertical="center"/>
    </xf>
    <xf numFmtId="0" fontId="10" fillId="0" borderId="0" xfId="4" applyAlignment="1">
      <alignment vertical="center"/>
    </xf>
    <xf numFmtId="0" fontId="0" fillId="3" borderId="1" xfId="0" applyFill="1" applyBorder="1" applyAlignment="1">
      <alignment vertical="center"/>
    </xf>
    <xf numFmtId="0" fontId="13" fillId="3" borderId="1" xfId="3" applyFill="1" applyBorder="1" applyAlignment="1">
      <alignment vertical="center"/>
    </xf>
    <xf numFmtId="0" fontId="3" fillId="0" borderId="2" xfId="4" applyFont="1" applyBorder="1" applyAlignment="1">
      <alignment vertical="center"/>
    </xf>
    <xf numFmtId="0" fontId="10" fillId="0" borderId="0" xfId="4" applyAlignment="1">
      <alignment vertical="center" wrapText="1"/>
    </xf>
    <xf numFmtId="15" fontId="0" fillId="0" borderId="1" xfId="0" quotePrefix="1" applyNumberFormat="1" applyBorder="1" applyAlignment="1">
      <alignment vertical="center" wrapText="1"/>
    </xf>
    <xf numFmtId="17" fontId="0" fillId="0" borderId="1" xfId="0" quotePrefix="1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1" xfId="4" quotePrefix="1" applyFont="1" applyBorder="1" applyAlignment="1">
      <alignment horizontal="center" vertical="center" wrapText="1"/>
    </xf>
    <xf numFmtId="0" fontId="0" fillId="0" borderId="1" xfId="0" applyBorder="1"/>
    <xf numFmtId="0" fontId="5" fillId="4" borderId="3" xfId="4" applyFont="1" applyFill="1" applyBorder="1" applyAlignment="1">
      <alignment horizontal="center" vertical="center"/>
    </xf>
    <xf numFmtId="0" fontId="5" fillId="4" borderId="4" xfId="4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0" fillId="0" borderId="1" xfId="4" applyFont="1" applyBorder="1" applyAlignment="1">
      <alignment horizontal="center" vertical="center" wrapText="1"/>
    </xf>
    <xf numFmtId="49" fontId="0" fillId="5" borderId="1" xfId="4" quotePrefix="1" applyNumberFormat="1" applyFont="1" applyFill="1" applyBorder="1" applyAlignment="1">
      <alignment horizontal="center" vertical="center" wrapText="1"/>
    </xf>
    <xf numFmtId="0" fontId="10" fillId="0" borderId="1" xfId="4" applyBorder="1" applyAlignment="1">
      <alignment horizontal="center" vertical="center" wrapText="1"/>
    </xf>
    <xf numFmtId="0" fontId="0" fillId="0" borderId="1" xfId="4" quotePrefix="1" applyFon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165" fontId="14" fillId="0" borderId="5" xfId="0" applyNumberFormat="1" applyFont="1" applyBorder="1" applyAlignment="1">
      <alignment horizontal="left" vertical="center" wrapText="1"/>
    </xf>
    <xf numFmtId="165" fontId="14" fillId="0" borderId="2" xfId="0" applyNumberFormat="1" applyFont="1" applyBorder="1" applyAlignment="1">
      <alignment horizontal="left" vertical="center" wrapText="1"/>
    </xf>
    <xf numFmtId="165" fontId="14" fillId="0" borderId="6" xfId="0" applyNumberFormat="1" applyFont="1" applyBorder="1" applyAlignment="1">
      <alignment horizontal="left" vertical="center" wrapText="1"/>
    </xf>
    <xf numFmtId="49" fontId="0" fillId="5" borderId="18" xfId="4" applyNumberFormat="1" applyFont="1" applyFill="1" applyBorder="1" applyAlignment="1">
      <alignment horizontal="center" vertical="center" wrapText="1"/>
    </xf>
    <xf numFmtId="49" fontId="10" fillId="5" borderId="19" xfId="4" applyNumberFormat="1" applyFill="1" applyBorder="1" applyAlignment="1">
      <alignment horizontal="center" vertical="center" wrapText="1"/>
    </xf>
    <xf numFmtId="49" fontId="0" fillId="5" borderId="5" xfId="0" applyNumberFormat="1" applyFill="1" applyBorder="1" applyAlignment="1">
      <alignment horizontal="left" vertical="center" wrapText="1"/>
    </xf>
    <xf numFmtId="49" fontId="0" fillId="5" borderId="6" xfId="0" applyNumberForma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center" vertical="center" wrapText="1"/>
    </xf>
    <xf numFmtId="49" fontId="9" fillId="5" borderId="2" xfId="0" applyNumberFormat="1" applyFont="1" applyFill="1" applyBorder="1" applyAlignment="1">
      <alignment horizontal="center" vertical="center" wrapText="1"/>
    </xf>
    <xf numFmtId="49" fontId="9" fillId="5" borderId="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9" fontId="0" fillId="5" borderId="5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center" vertical="center" wrapText="1"/>
    </xf>
    <xf numFmtId="49" fontId="0" fillId="5" borderId="2" xfId="0" applyNumberFormat="1" applyFill="1" applyBorder="1" applyAlignment="1">
      <alignment horizontal="left" vertical="center" wrapText="1"/>
    </xf>
    <xf numFmtId="49" fontId="0" fillId="5" borderId="13" xfId="4" applyNumberFormat="1" applyFont="1" applyFill="1" applyBorder="1" applyAlignment="1">
      <alignment horizontal="center" vertical="center"/>
    </xf>
    <xf numFmtId="49" fontId="10" fillId="5" borderId="13" xfId="4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left" vertical="center" wrapText="1"/>
    </xf>
    <xf numFmtId="49" fontId="9" fillId="5" borderId="1" xfId="0" applyNumberFormat="1" applyFont="1" applyFill="1" applyBorder="1" applyAlignment="1">
      <alignment horizontal="left" vertical="center" wrapText="1"/>
    </xf>
    <xf numFmtId="49" fontId="0" fillId="6" borderId="1" xfId="0" applyNumberFormat="1" applyFill="1" applyBorder="1" applyAlignment="1">
      <alignment horizontal="left" vertical="center" wrapText="1"/>
    </xf>
    <xf numFmtId="49" fontId="0" fillId="5" borderId="1" xfId="0" applyNumberForma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49" fontId="0" fillId="0" borderId="1" xfId="4" applyNumberFormat="1" applyFont="1" applyBorder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49" fontId="9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2" fillId="0" borderId="5" xfId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49" fontId="0" fillId="5" borderId="1" xfId="0" quotePrefix="1" applyNumberFormat="1" applyFill="1" applyBorder="1" applyAlignment="1">
      <alignment horizontal="left" vertical="center" wrapText="1"/>
    </xf>
    <xf numFmtId="49" fontId="0" fillId="5" borderId="1" xfId="0" quotePrefix="1" applyNumberFormat="1" applyFill="1" applyBorder="1" applyAlignment="1">
      <alignment vertical="center" wrapText="1"/>
    </xf>
    <xf numFmtId="49" fontId="0" fillId="5" borderId="5" xfId="0" quotePrefix="1" applyNumberFormat="1" applyFill="1" applyBorder="1" applyAlignment="1">
      <alignment vertical="center" wrapText="1"/>
    </xf>
    <xf numFmtId="49" fontId="0" fillId="5" borderId="6" xfId="0" quotePrefix="1" applyNumberForma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0" fillId="5" borderId="5" xfId="0" quotePrefix="1" applyNumberFormat="1" applyFill="1" applyBorder="1" applyAlignment="1">
      <alignment horizontal="left" vertical="center" wrapText="1"/>
    </xf>
    <xf numFmtId="49" fontId="0" fillId="5" borderId="6" xfId="0" quotePrefix="1" applyNumberFormat="1" applyFill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0" fillId="0" borderId="5" xfId="4" applyFont="1" applyBorder="1" applyAlignment="1">
      <alignment horizontal="center" vertical="center" wrapText="1"/>
    </xf>
    <xf numFmtId="0" fontId="0" fillId="0" borderId="2" xfId="4" applyFont="1" applyBorder="1" applyAlignment="1">
      <alignment horizontal="center" vertical="center" wrapText="1"/>
    </xf>
    <xf numFmtId="0" fontId="0" fillId="0" borderId="6" xfId="4" applyFont="1" applyBorder="1" applyAlignment="1">
      <alignment horizontal="center" vertical="center" wrapText="1"/>
    </xf>
    <xf numFmtId="49" fontId="0" fillId="5" borderId="5" xfId="4" quotePrefix="1" applyNumberFormat="1" applyFont="1" applyFill="1" applyBorder="1" applyAlignment="1">
      <alignment horizontal="center" vertical="center" wrapText="1"/>
    </xf>
    <xf numFmtId="49" fontId="0" fillId="5" borderId="2" xfId="4" quotePrefix="1" applyNumberFormat="1" applyFont="1" applyFill="1" applyBorder="1" applyAlignment="1">
      <alignment horizontal="center" vertical="center" wrapText="1"/>
    </xf>
    <xf numFmtId="49" fontId="0" fillId="5" borderId="20" xfId="4" quotePrefix="1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6" fontId="17" fillId="8" borderId="15" xfId="5" applyNumberFormat="1" applyFont="1" applyFill="1" applyBorder="1" applyAlignment="1">
      <alignment vertical="center"/>
    </xf>
    <xf numFmtId="166" fontId="17" fillId="8" borderId="21" xfId="5" applyNumberFormat="1" applyFont="1" applyFill="1" applyBorder="1" applyAlignment="1">
      <alignment vertical="center"/>
    </xf>
    <xf numFmtId="166" fontId="17" fillId="8" borderId="14" xfId="5" applyNumberFormat="1" applyFont="1" applyFill="1" applyBorder="1" applyAlignment="1">
      <alignment vertical="center"/>
    </xf>
    <xf numFmtId="166" fontId="17" fillId="0" borderId="5" xfId="5" applyNumberFormat="1" applyFont="1" applyBorder="1" applyAlignment="1">
      <alignment horizontal="left" vertical="center" wrapText="1"/>
    </xf>
    <xf numFmtId="166" fontId="17" fillId="0" borderId="6" xfId="5" applyNumberFormat="1" applyFont="1" applyBorder="1" applyAlignment="1">
      <alignment horizontal="left" vertical="center" wrapText="1"/>
    </xf>
    <xf numFmtId="0" fontId="17" fillId="6" borderId="5" xfId="5" applyNumberFormat="1" applyFont="1" applyFill="1" applyBorder="1" applyAlignment="1">
      <alignment horizontal="right" vertical="center" wrapText="1"/>
    </xf>
    <xf numFmtId="0" fontId="17" fillId="6" borderId="2" xfId="5" applyNumberFormat="1" applyFont="1" applyFill="1" applyBorder="1" applyAlignment="1">
      <alignment horizontal="right" vertical="center" wrapText="1"/>
    </xf>
    <xf numFmtId="0" fontId="17" fillId="6" borderId="6" xfId="5" applyNumberFormat="1" applyFont="1" applyFill="1" applyBorder="1" applyAlignment="1">
      <alignment horizontal="right" vertical="center" wrapText="1"/>
    </xf>
    <xf numFmtId="3" fontId="17" fillId="6" borderId="5" xfId="5" applyNumberFormat="1" applyFont="1" applyFill="1" applyBorder="1" applyAlignment="1">
      <alignment horizontal="right" vertical="center"/>
    </xf>
    <xf numFmtId="3" fontId="17" fillId="6" borderId="2" xfId="5" applyNumberFormat="1" applyFont="1" applyFill="1" applyBorder="1" applyAlignment="1">
      <alignment horizontal="right" vertical="center"/>
    </xf>
    <xf numFmtId="3" fontId="17" fillId="6" borderId="6" xfId="5" applyNumberFormat="1" applyFont="1" applyFill="1" applyBorder="1" applyAlignment="1">
      <alignment horizontal="right" vertical="center"/>
    </xf>
    <xf numFmtId="3" fontId="17" fillId="0" borderId="5" xfId="5" applyNumberFormat="1" applyFont="1" applyBorder="1" applyAlignment="1">
      <alignment horizontal="right" vertical="center"/>
    </xf>
    <xf numFmtId="3" fontId="17" fillId="0" borderId="2" xfId="5" applyNumberFormat="1" applyFont="1" applyBorder="1" applyAlignment="1">
      <alignment horizontal="right" vertical="center"/>
    </xf>
    <xf numFmtId="3" fontId="17" fillId="0" borderId="6" xfId="5" applyNumberFormat="1" applyFont="1" applyBorder="1" applyAlignment="1">
      <alignment horizontal="right" vertical="center"/>
    </xf>
    <xf numFmtId="166" fontId="17" fillId="0" borderId="5" xfId="5" applyNumberFormat="1" applyFont="1" applyBorder="1" applyAlignment="1">
      <alignment horizontal="right" vertical="center" wrapText="1"/>
    </xf>
    <xf numFmtId="166" fontId="17" fillId="0" borderId="2" xfId="5" applyNumberFormat="1" applyFont="1" applyBorder="1" applyAlignment="1">
      <alignment horizontal="right" vertical="center" wrapText="1"/>
    </xf>
    <xf numFmtId="166" fontId="17" fillId="0" borderId="6" xfId="5" applyNumberFormat="1" applyFont="1" applyBorder="1" applyAlignment="1">
      <alignment horizontal="right" vertical="center" wrapText="1"/>
    </xf>
    <xf numFmtId="166" fontId="17" fillId="6" borderId="5" xfId="5" applyNumberFormat="1" applyFont="1" applyFill="1" applyBorder="1" applyAlignment="1">
      <alignment horizontal="center" vertical="center"/>
    </xf>
    <xf numFmtId="166" fontId="17" fillId="6" borderId="2" xfId="5" applyNumberFormat="1" applyFont="1" applyFill="1" applyBorder="1" applyAlignment="1">
      <alignment horizontal="center" vertical="center"/>
    </xf>
    <xf numFmtId="166" fontId="17" fillId="6" borderId="6" xfId="5" applyNumberFormat="1" applyFont="1" applyFill="1" applyBorder="1" applyAlignment="1">
      <alignment horizontal="center" vertical="center"/>
    </xf>
    <xf numFmtId="166" fontId="18" fillId="0" borderId="15" xfId="5" applyNumberFormat="1" applyFont="1" applyBorder="1" applyAlignment="1">
      <alignment horizontal="left" vertical="top" wrapText="1"/>
    </xf>
    <xf numFmtId="166" fontId="18" fillId="0" borderId="21" xfId="5" applyNumberFormat="1" applyFont="1" applyBorder="1" applyAlignment="1">
      <alignment horizontal="left" vertical="top" wrapText="1"/>
    </xf>
    <xf numFmtId="166" fontId="18" fillId="0" borderId="14" xfId="5" applyNumberFormat="1" applyFont="1" applyBorder="1" applyAlignment="1">
      <alignment horizontal="left" vertical="top" wrapText="1"/>
    </xf>
    <xf numFmtId="166" fontId="18" fillId="0" borderId="15" xfId="5" applyNumberFormat="1" applyFont="1" applyFill="1" applyBorder="1" applyAlignment="1">
      <alignment horizontal="left" vertical="center" wrapText="1"/>
    </xf>
    <xf numFmtId="166" fontId="18" fillId="0" borderId="21" xfId="5" applyNumberFormat="1" applyFont="1" applyFill="1" applyBorder="1" applyAlignment="1">
      <alignment horizontal="left" vertical="center" wrapText="1"/>
    </xf>
    <xf numFmtId="166" fontId="18" fillId="0" borderId="14" xfId="5" applyNumberFormat="1" applyFont="1" applyFill="1" applyBorder="1" applyAlignment="1">
      <alignment horizontal="left" vertical="center" wrapText="1"/>
    </xf>
    <xf numFmtId="166" fontId="18" fillId="0" borderId="15" xfId="5" applyNumberFormat="1" applyFont="1" applyBorder="1" applyAlignment="1">
      <alignment horizontal="left" vertical="center" wrapText="1"/>
    </xf>
    <xf numFmtId="166" fontId="18" fillId="0" borderId="21" xfId="5" applyNumberFormat="1" applyFont="1" applyBorder="1" applyAlignment="1">
      <alignment horizontal="left" vertical="center" wrapText="1"/>
    </xf>
    <xf numFmtId="166" fontId="18" fillId="0" borderId="14" xfId="5" applyNumberFormat="1" applyFont="1" applyBorder="1" applyAlignment="1">
      <alignment horizontal="left" vertical="center" wrapText="1"/>
    </xf>
    <xf numFmtId="166" fontId="17" fillId="0" borderId="5" xfId="5" applyNumberFormat="1" applyFont="1" applyBorder="1" applyAlignment="1">
      <alignment horizontal="center" vertical="center" wrapText="1"/>
    </xf>
    <xf numFmtId="166" fontId="17" fillId="0" borderId="6" xfId="5" applyNumberFormat="1" applyFont="1" applyBorder="1" applyAlignment="1">
      <alignment horizontal="center" vertical="center" wrapText="1"/>
    </xf>
  </cellXfs>
  <cellStyles count="6">
    <cellStyle name="Lien hypertexte" xfId="3" builtinId="8"/>
    <cellStyle name="Milliers" xfId="5" builtinId="3"/>
    <cellStyle name="Normal" xfId="0" builtinId="0"/>
    <cellStyle name="Normal 2" xfId="2" xr:uid="{00000000-0005-0000-0000-000003000000}"/>
    <cellStyle name="Normal 3" xfId="1" xr:uid="{00000000-0005-0000-0000-000004000000}"/>
    <cellStyle name="Normal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aymond08sg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raymond08sg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raymond08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opLeftCell="B1" workbookViewId="0">
      <selection activeCell="A8" sqref="A8"/>
    </sheetView>
  </sheetViews>
  <sheetFormatPr baseColWidth="10" defaultColWidth="9" defaultRowHeight="15"/>
  <cols>
    <col min="1" max="1" width="110.1640625" customWidth="1"/>
  </cols>
  <sheetData>
    <row r="1" spans="1:1" ht="17">
      <c r="A1" s="4" t="s">
        <v>4</v>
      </c>
    </row>
    <row r="2" spans="1:1" ht="16">
      <c r="A2" s="5"/>
    </row>
    <row r="3" spans="1:1" ht="17">
      <c r="A3" s="4" t="s">
        <v>5</v>
      </c>
    </row>
    <row r="4" spans="1:1" ht="34">
      <c r="A4" s="5" t="s">
        <v>6</v>
      </c>
    </row>
    <row r="5" spans="1:1" ht="51">
      <c r="A5" s="5" t="s">
        <v>7</v>
      </c>
    </row>
    <row r="6" spans="1:1" ht="17">
      <c r="A6" s="4" t="s">
        <v>8</v>
      </c>
    </row>
    <row r="7" spans="1:1" ht="17">
      <c r="A7" s="6" t="s">
        <v>9</v>
      </c>
    </row>
    <row r="8" spans="1:1" ht="17">
      <c r="A8" s="6" t="s">
        <v>21</v>
      </c>
    </row>
    <row r="9" spans="1:1" ht="17">
      <c r="A9" s="6" t="s">
        <v>10</v>
      </c>
    </row>
    <row r="10" spans="1:1" ht="17">
      <c r="A10" s="6" t="s">
        <v>11</v>
      </c>
    </row>
    <row r="11" spans="1:1" ht="17">
      <c r="A11" s="6" t="s">
        <v>12</v>
      </c>
    </row>
  </sheetData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7"/>
  <sheetViews>
    <sheetView topLeftCell="A34" zoomScale="106" zoomScaleNormal="106" workbookViewId="0">
      <selection activeCell="C12" sqref="A12:XFD12"/>
    </sheetView>
  </sheetViews>
  <sheetFormatPr baseColWidth="10" defaultColWidth="9" defaultRowHeight="15"/>
  <cols>
    <col min="1" max="1" width="34.6640625" style="8" customWidth="1"/>
    <col min="2" max="2" width="27.83203125" style="17" customWidth="1"/>
    <col min="3" max="3" width="45.83203125" customWidth="1"/>
    <col min="4" max="4" width="38.1640625" style="17" customWidth="1"/>
    <col min="5" max="5" width="35.6640625" customWidth="1"/>
  </cols>
  <sheetData>
    <row r="1" spans="1:5">
      <c r="A1" s="12" t="s">
        <v>0</v>
      </c>
      <c r="B1" s="9">
        <v>45364</v>
      </c>
    </row>
    <row r="2" spans="1:5">
      <c r="A2" s="12" t="s">
        <v>20</v>
      </c>
      <c r="B2" s="15" t="s">
        <v>36</v>
      </c>
    </row>
    <row r="3" spans="1:5">
      <c r="A3" s="12" t="s">
        <v>3</v>
      </c>
      <c r="B3" s="15" t="s">
        <v>37</v>
      </c>
    </row>
    <row r="4" spans="1:5">
      <c r="A4" s="12" t="s">
        <v>1</v>
      </c>
      <c r="B4" s="16" t="s">
        <v>38</v>
      </c>
    </row>
    <row r="5" spans="1:5">
      <c r="A5" s="12" t="s">
        <v>2</v>
      </c>
      <c r="B5" s="15">
        <v>66462723</v>
      </c>
    </row>
    <row r="6" spans="1:5">
      <c r="A6" s="13"/>
    </row>
    <row r="7" spans="1:5" ht="19">
      <c r="A7" s="135" t="s">
        <v>19</v>
      </c>
      <c r="B7" s="136"/>
      <c r="C7" s="136"/>
      <c r="D7" s="136"/>
      <c r="E7" s="136"/>
    </row>
    <row r="9" spans="1:5" ht="31" customHeight="1">
      <c r="A9" s="14" t="s">
        <v>13</v>
      </c>
      <c r="B9" s="18" t="s">
        <v>14</v>
      </c>
      <c r="C9" s="3" t="s">
        <v>15</v>
      </c>
      <c r="D9" s="21" t="s">
        <v>16</v>
      </c>
      <c r="E9" s="3" t="s">
        <v>17</v>
      </c>
    </row>
    <row r="10" spans="1:5" s="2" customFormat="1" ht="44.25" customHeight="1">
      <c r="A10" s="134" t="s">
        <v>52</v>
      </c>
      <c r="B10" s="132" t="s">
        <v>22</v>
      </c>
      <c r="C10" s="39" t="s">
        <v>76</v>
      </c>
      <c r="D10" s="25" t="s">
        <v>35</v>
      </c>
      <c r="E10" s="26" t="s">
        <v>30</v>
      </c>
    </row>
    <row r="11" spans="1:5" s="2" customFormat="1" ht="44.25" customHeight="1">
      <c r="A11" s="134"/>
      <c r="B11" s="132"/>
      <c r="C11" s="40" t="s">
        <v>60</v>
      </c>
      <c r="D11" s="10" t="s">
        <v>91</v>
      </c>
      <c r="E11" s="26" t="s">
        <v>40</v>
      </c>
    </row>
    <row r="12" spans="1:5" s="2" customFormat="1" ht="44.25" customHeight="1">
      <c r="A12" s="134"/>
      <c r="B12" s="132"/>
      <c r="C12" s="40"/>
      <c r="D12" s="10"/>
      <c r="E12" s="26"/>
    </row>
    <row r="13" spans="1:5" s="2" customFormat="1" ht="44.25" customHeight="1">
      <c r="A13" s="134"/>
      <c r="B13" s="132"/>
      <c r="C13" s="40" t="s">
        <v>61</v>
      </c>
      <c r="D13" s="10" t="s">
        <v>92</v>
      </c>
      <c r="E13" s="26" t="s">
        <v>93</v>
      </c>
    </row>
    <row r="14" spans="1:5" s="1" customFormat="1" ht="44.25" customHeight="1">
      <c r="A14" s="134"/>
      <c r="B14" s="124" t="s">
        <v>57</v>
      </c>
      <c r="C14" s="40" t="s">
        <v>62</v>
      </c>
      <c r="D14" s="10" t="s">
        <v>94</v>
      </c>
      <c r="E14" s="23" t="s">
        <v>95</v>
      </c>
    </row>
    <row r="15" spans="1:5" s="1" customFormat="1" ht="44.25" customHeight="1">
      <c r="A15" s="134"/>
      <c r="B15" s="124"/>
      <c r="C15" s="41" t="s">
        <v>96</v>
      </c>
      <c r="D15" s="10" t="s">
        <v>97</v>
      </c>
      <c r="E15" s="23" t="s">
        <v>27</v>
      </c>
    </row>
    <row r="16" spans="1:5" s="1" customFormat="1" ht="44.25" customHeight="1">
      <c r="A16" s="134"/>
      <c r="B16" s="124"/>
      <c r="C16" s="41" t="s">
        <v>64</v>
      </c>
      <c r="D16" s="10" t="s">
        <v>26</v>
      </c>
      <c r="E16" s="23" t="s">
        <v>27</v>
      </c>
    </row>
    <row r="17" spans="1:5" s="1" customFormat="1" ht="44.25" customHeight="1">
      <c r="A17" s="134"/>
      <c r="B17" s="124"/>
      <c r="C17" s="39" t="s">
        <v>63</v>
      </c>
      <c r="D17" s="10" t="s">
        <v>90</v>
      </c>
      <c r="E17" s="23" t="s">
        <v>98</v>
      </c>
    </row>
    <row r="18" spans="1:5" s="1" customFormat="1" ht="44.25" customHeight="1">
      <c r="A18" s="134"/>
      <c r="B18" s="124"/>
      <c r="C18" s="41" t="s">
        <v>65</v>
      </c>
      <c r="D18" s="10" t="s">
        <v>99</v>
      </c>
      <c r="E18" s="23" t="s">
        <v>27</v>
      </c>
    </row>
    <row r="19" spans="1:5" s="1" customFormat="1" ht="44.25" customHeight="1">
      <c r="A19" s="134"/>
      <c r="B19" s="124"/>
      <c r="C19" s="41" t="s">
        <v>66</v>
      </c>
      <c r="D19" s="10" t="s">
        <v>35</v>
      </c>
      <c r="E19" s="26" t="s">
        <v>30</v>
      </c>
    </row>
    <row r="20" spans="1:5" s="1" customFormat="1" ht="44.25" customHeight="1">
      <c r="A20" s="134"/>
      <c r="B20" s="124"/>
      <c r="C20" s="41" t="s">
        <v>77</v>
      </c>
      <c r="D20" s="10" t="s">
        <v>31</v>
      </c>
      <c r="E20" s="23" t="s">
        <v>25</v>
      </c>
    </row>
    <row r="21" spans="1:5" s="1" customFormat="1" ht="44.25" customHeight="1">
      <c r="A21" s="134"/>
      <c r="B21" s="133" t="s">
        <v>56</v>
      </c>
      <c r="C21" s="42" t="s">
        <v>82</v>
      </c>
      <c r="D21" s="10" t="s">
        <v>116</v>
      </c>
      <c r="E21" s="138" t="s">
        <v>28</v>
      </c>
    </row>
    <row r="22" spans="1:5" s="1" customFormat="1" ht="44.25" customHeight="1">
      <c r="A22" s="134"/>
      <c r="B22" s="133"/>
      <c r="C22" s="137" t="s">
        <v>83</v>
      </c>
      <c r="D22" s="10" t="s">
        <v>116</v>
      </c>
      <c r="E22" s="138"/>
    </row>
    <row r="23" spans="1:5" s="1" customFormat="1" ht="44.25" customHeight="1">
      <c r="A23" s="134"/>
      <c r="B23" s="133"/>
      <c r="C23" s="137"/>
      <c r="D23" s="10" t="s">
        <v>79</v>
      </c>
      <c r="E23" s="23" t="s">
        <v>81</v>
      </c>
    </row>
    <row r="24" spans="1:5" s="1" customFormat="1" ht="44.25" customHeight="1">
      <c r="A24" s="141" t="s">
        <v>53</v>
      </c>
      <c r="B24" s="132" t="s">
        <v>84</v>
      </c>
      <c r="C24" s="139" t="s">
        <v>78</v>
      </c>
      <c r="D24" s="124" t="s">
        <v>26</v>
      </c>
      <c r="E24" s="138" t="s">
        <v>27</v>
      </c>
    </row>
    <row r="25" spans="1:5" s="1" customFormat="1" ht="44.25" customHeight="1">
      <c r="A25" s="142"/>
      <c r="B25" s="132"/>
      <c r="C25" s="139"/>
      <c r="D25" s="124"/>
      <c r="E25" s="138"/>
    </row>
    <row r="26" spans="1:5" s="1" customFormat="1" ht="44.25" customHeight="1">
      <c r="A26" s="142"/>
      <c r="B26" s="132"/>
      <c r="C26" s="43" t="s">
        <v>85</v>
      </c>
      <c r="D26" s="124"/>
      <c r="E26" s="138"/>
    </row>
    <row r="27" spans="1:5" s="1" customFormat="1" ht="44.25" customHeight="1">
      <c r="A27" s="142"/>
      <c r="B27" s="132"/>
      <c r="C27" s="43" t="s">
        <v>67</v>
      </c>
      <c r="D27" s="124"/>
      <c r="E27" s="149" t="s">
        <v>32</v>
      </c>
    </row>
    <row r="28" spans="1:5" s="1" customFormat="1" ht="44.25" customHeight="1">
      <c r="A28" s="143"/>
      <c r="B28" s="132"/>
      <c r="C28" s="43" t="s">
        <v>68</v>
      </c>
      <c r="D28" s="124"/>
      <c r="E28" s="149"/>
    </row>
    <row r="29" spans="1:5" s="1" customFormat="1" ht="44.25" customHeight="1">
      <c r="A29" s="113" t="s">
        <v>54</v>
      </c>
      <c r="B29" s="119" t="s">
        <v>80</v>
      </c>
      <c r="C29" s="41" t="s">
        <v>69</v>
      </c>
      <c r="D29" s="27" t="s">
        <v>29</v>
      </c>
      <c r="E29" s="28" t="s">
        <v>32</v>
      </c>
    </row>
    <row r="30" spans="1:5" s="1" customFormat="1" ht="44.25" customHeight="1">
      <c r="A30" s="113"/>
      <c r="B30" s="120"/>
      <c r="C30" s="41" t="s">
        <v>70</v>
      </c>
      <c r="D30" s="27" t="s">
        <v>31</v>
      </c>
      <c r="E30" s="28" t="s">
        <v>25</v>
      </c>
    </row>
    <row r="31" spans="1:5" s="1" customFormat="1" ht="44.25" customHeight="1">
      <c r="A31" s="125" t="s">
        <v>41</v>
      </c>
      <c r="B31" s="119" t="s">
        <v>42</v>
      </c>
      <c r="C31" s="44" t="s">
        <v>132</v>
      </c>
      <c r="D31" s="27" t="s">
        <v>89</v>
      </c>
      <c r="E31" s="28" t="s">
        <v>48</v>
      </c>
    </row>
    <row r="32" spans="1:5" s="1" customFormat="1" ht="44.25" customHeight="1">
      <c r="A32" s="126"/>
      <c r="B32" s="127"/>
      <c r="C32" s="152" t="s">
        <v>100</v>
      </c>
      <c r="D32" s="150" t="s">
        <v>102</v>
      </c>
      <c r="E32" s="147" t="s">
        <v>30</v>
      </c>
    </row>
    <row r="33" spans="1:5" s="1" customFormat="1" ht="44.25" customHeight="1">
      <c r="A33" s="126"/>
      <c r="B33" s="127"/>
      <c r="C33" s="153"/>
      <c r="D33" s="151"/>
      <c r="E33" s="148"/>
    </row>
    <row r="34" spans="1:5" s="1" customFormat="1" ht="44.25" customHeight="1">
      <c r="A34" s="126"/>
      <c r="B34" s="127"/>
      <c r="C34" s="44" t="s">
        <v>133</v>
      </c>
      <c r="D34" s="31" t="s">
        <v>90</v>
      </c>
      <c r="E34" s="32" t="s">
        <v>27</v>
      </c>
    </row>
    <row r="35" spans="1:5" s="1" customFormat="1" ht="44.25" customHeight="1">
      <c r="A35" s="126"/>
      <c r="B35" s="127"/>
      <c r="C35" s="44" t="s">
        <v>133</v>
      </c>
      <c r="D35" s="31" t="s">
        <v>90</v>
      </c>
      <c r="E35" s="32" t="s">
        <v>27</v>
      </c>
    </row>
    <row r="36" spans="1:5" s="1" customFormat="1" ht="44.25" customHeight="1">
      <c r="A36" s="113" t="s">
        <v>43</v>
      </c>
      <c r="B36" s="11" t="s">
        <v>58</v>
      </c>
      <c r="C36" s="144" t="s">
        <v>75</v>
      </c>
      <c r="D36" s="145" t="s">
        <v>101</v>
      </c>
      <c r="E36" s="146" t="s">
        <v>103</v>
      </c>
    </row>
    <row r="37" spans="1:5" s="1" customFormat="1" ht="177" customHeight="1">
      <c r="A37" s="113"/>
      <c r="B37" s="30" t="s">
        <v>59</v>
      </c>
      <c r="C37" s="144"/>
      <c r="D37" s="145"/>
      <c r="E37" s="146"/>
    </row>
    <row r="38" spans="1:5" ht="96.75" customHeight="1">
      <c r="A38" s="113" t="s">
        <v>44</v>
      </c>
      <c r="B38" s="19" t="s">
        <v>87</v>
      </c>
      <c r="C38" s="44" t="s">
        <v>138</v>
      </c>
      <c r="D38" s="124" t="s">
        <v>86</v>
      </c>
      <c r="E38" s="140" t="s">
        <v>49</v>
      </c>
    </row>
    <row r="39" spans="1:5" ht="44.25" customHeight="1">
      <c r="A39" s="113"/>
      <c r="B39" s="19" t="s">
        <v>46</v>
      </c>
      <c r="C39" s="44" t="s">
        <v>47</v>
      </c>
      <c r="D39" s="124"/>
      <c r="E39" s="140"/>
    </row>
    <row r="40" spans="1:5" ht="72" customHeight="1">
      <c r="A40" s="113"/>
      <c r="B40" s="20" t="s">
        <v>74</v>
      </c>
      <c r="C40" s="44" t="s">
        <v>33</v>
      </c>
      <c r="D40" s="124"/>
      <c r="E40" s="24"/>
    </row>
    <row r="41" spans="1:5" ht="44.25" customHeight="1">
      <c r="A41" s="130" t="s">
        <v>45</v>
      </c>
      <c r="B41" s="131" t="s">
        <v>18</v>
      </c>
      <c r="C41" s="44" t="s">
        <v>104</v>
      </c>
      <c r="D41" s="22" t="s">
        <v>31</v>
      </c>
      <c r="E41" s="24" t="s">
        <v>50</v>
      </c>
    </row>
    <row r="42" spans="1:5" ht="44.25" customHeight="1">
      <c r="A42" s="130"/>
      <c r="B42" s="131"/>
      <c r="C42" s="46" t="s">
        <v>71</v>
      </c>
      <c r="D42" s="22" t="s">
        <v>29</v>
      </c>
      <c r="E42" s="24" t="s">
        <v>34</v>
      </c>
    </row>
    <row r="43" spans="1:5" ht="44.25" customHeight="1">
      <c r="A43" s="130"/>
      <c r="B43" s="131" t="s">
        <v>23</v>
      </c>
      <c r="C43" s="44" t="s">
        <v>105</v>
      </c>
      <c r="D43" s="22" t="s">
        <v>31</v>
      </c>
      <c r="E43" s="24" t="s">
        <v>51</v>
      </c>
    </row>
    <row r="44" spans="1:5" ht="44.25" customHeight="1">
      <c r="A44" s="130"/>
      <c r="B44" s="131"/>
      <c r="C44" s="44" t="s">
        <v>24</v>
      </c>
      <c r="D44" s="22" t="s">
        <v>31</v>
      </c>
      <c r="E44" s="24" t="s">
        <v>51</v>
      </c>
    </row>
    <row r="45" spans="1:5" ht="44.25" customHeight="1">
      <c r="A45" s="130" t="s">
        <v>55</v>
      </c>
      <c r="B45" s="131" t="s">
        <v>106</v>
      </c>
      <c r="C45" s="44" t="s">
        <v>39</v>
      </c>
      <c r="D45" s="22" t="s">
        <v>31</v>
      </c>
      <c r="E45" s="24" t="s">
        <v>51</v>
      </c>
    </row>
    <row r="46" spans="1:5" ht="44.25" customHeight="1">
      <c r="A46" s="130"/>
      <c r="B46" s="131"/>
      <c r="C46" s="44" t="s">
        <v>72</v>
      </c>
      <c r="D46" s="29" t="s">
        <v>88</v>
      </c>
      <c r="E46" s="24" t="s">
        <v>73</v>
      </c>
    </row>
    <row r="47" spans="1:5">
      <c r="C47" s="7"/>
    </row>
  </sheetData>
  <mergeCells count="32">
    <mergeCell ref="D38:D40"/>
    <mergeCell ref="E38:E39"/>
    <mergeCell ref="A24:A28"/>
    <mergeCell ref="A36:A37"/>
    <mergeCell ref="C36:C37"/>
    <mergeCell ref="D36:D37"/>
    <mergeCell ref="E36:E37"/>
    <mergeCell ref="E32:E33"/>
    <mergeCell ref="E24:E26"/>
    <mergeCell ref="E27:E28"/>
    <mergeCell ref="D24:D28"/>
    <mergeCell ref="A31:A35"/>
    <mergeCell ref="B31:B35"/>
    <mergeCell ref="D32:D33"/>
    <mergeCell ref="C32:C33"/>
    <mergeCell ref="A7:E7"/>
    <mergeCell ref="A29:A30"/>
    <mergeCell ref="B14:B20"/>
    <mergeCell ref="C22:C23"/>
    <mergeCell ref="E21:E22"/>
    <mergeCell ref="C24:C25"/>
    <mergeCell ref="B45:B46"/>
    <mergeCell ref="A45:A46"/>
    <mergeCell ref="A41:A44"/>
    <mergeCell ref="B10:B13"/>
    <mergeCell ref="B21:B23"/>
    <mergeCell ref="A10:A23"/>
    <mergeCell ref="B29:B30"/>
    <mergeCell ref="B24:B28"/>
    <mergeCell ref="A38:A40"/>
    <mergeCell ref="B41:B42"/>
    <mergeCell ref="B43:B44"/>
  </mergeCells>
  <hyperlinks>
    <hyperlink ref="B4" r:id="rId1" xr:uid="{00000000-0004-0000-0100-000000000000}"/>
  </hyperlinks>
  <pageMargins left="0.7" right="0.7" top="0.75" bottom="0.75" header="0.3" footer="0.3"/>
  <pageSetup orientation="portrait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0"/>
  <sheetViews>
    <sheetView topLeftCell="A7" zoomScaleNormal="100" workbookViewId="0">
      <pane xSplit="2" ySplit="5" topLeftCell="C28" activePane="bottomRight" state="frozen"/>
      <selection activeCell="A7" sqref="A7"/>
      <selection pane="topRight" activeCell="C7" sqref="C7"/>
      <selection pane="bottomLeft" activeCell="A12" sqref="A12"/>
      <selection pane="bottomRight" activeCell="B45" sqref="B45"/>
    </sheetView>
  </sheetViews>
  <sheetFormatPr baseColWidth="10" defaultColWidth="9" defaultRowHeight="15"/>
  <cols>
    <col min="1" max="1" width="19.83203125" style="89" customWidth="1"/>
    <col min="2" max="2" width="26.6640625" style="89" customWidth="1"/>
    <col min="3" max="3" width="38.6640625" style="88" customWidth="1"/>
    <col min="4" max="4" width="17.1640625" style="89" customWidth="1"/>
    <col min="5" max="5" width="16.5" style="89" customWidth="1"/>
    <col min="6" max="7" width="15.6640625" style="89" customWidth="1"/>
    <col min="8" max="8" width="14" style="89" customWidth="1"/>
    <col min="9" max="16384" width="9" style="89"/>
  </cols>
  <sheetData>
    <row r="1" spans="1:8">
      <c r="A1" s="86" t="s">
        <v>0</v>
      </c>
      <c r="B1" s="87">
        <v>44979</v>
      </c>
    </row>
    <row r="2" spans="1:8">
      <c r="A2" s="86" t="s">
        <v>20</v>
      </c>
      <c r="B2" s="90" t="s">
        <v>36</v>
      </c>
    </row>
    <row r="3" spans="1:8">
      <c r="A3" s="86" t="s">
        <v>3</v>
      </c>
      <c r="B3" s="90" t="s">
        <v>37</v>
      </c>
    </row>
    <row r="4" spans="1:8">
      <c r="A4" s="86" t="s">
        <v>1</v>
      </c>
      <c r="B4" s="91" t="s">
        <v>38</v>
      </c>
    </row>
    <row r="5" spans="1:8">
      <c r="A5" s="86" t="s">
        <v>2</v>
      </c>
      <c r="B5" s="90">
        <v>66462723</v>
      </c>
    </row>
    <row r="6" spans="1:8">
      <c r="A6" s="92"/>
    </row>
    <row r="7" spans="1:8" ht="19">
      <c r="A7" s="99" t="s">
        <v>107</v>
      </c>
      <c r="B7" s="100"/>
      <c r="C7" s="100"/>
      <c r="D7" s="100"/>
      <c r="E7" s="100"/>
    </row>
    <row r="8" spans="1:8" ht="6" customHeight="1"/>
    <row r="9" spans="1:8" ht="6" customHeight="1"/>
    <row r="10" spans="1:8">
      <c r="A10" s="101" t="s">
        <v>108</v>
      </c>
      <c r="B10" s="102" t="s">
        <v>14</v>
      </c>
      <c r="C10" s="103" t="s">
        <v>109</v>
      </c>
      <c r="D10" s="105" t="s">
        <v>110</v>
      </c>
      <c r="E10" s="107" t="s">
        <v>111</v>
      </c>
      <c r="F10" s="102" t="s">
        <v>112</v>
      </c>
      <c r="G10" s="102"/>
      <c r="H10" s="101" t="s">
        <v>113</v>
      </c>
    </row>
    <row r="11" spans="1:8" ht="31" customHeight="1">
      <c r="A11" s="101"/>
      <c r="B11" s="102"/>
      <c r="C11" s="104"/>
      <c r="D11" s="106"/>
      <c r="E11" s="108"/>
      <c r="F11" s="83" t="s">
        <v>114</v>
      </c>
      <c r="G11" s="83" t="s">
        <v>115</v>
      </c>
      <c r="H11" s="101"/>
    </row>
    <row r="12" spans="1:8" s="93" customFormat="1" ht="59.25" customHeight="1">
      <c r="A12" s="128" t="s">
        <v>52</v>
      </c>
      <c r="B12" s="121" t="s">
        <v>22</v>
      </c>
      <c r="C12" s="48" t="s">
        <v>145</v>
      </c>
      <c r="D12" s="36" t="s">
        <v>142</v>
      </c>
      <c r="E12" s="37" t="s">
        <v>230</v>
      </c>
      <c r="F12" s="35" t="s">
        <v>116</v>
      </c>
      <c r="G12" s="38" t="s">
        <v>134</v>
      </c>
      <c r="H12" s="35" t="s">
        <v>116</v>
      </c>
    </row>
    <row r="13" spans="1:8" s="93" customFormat="1" ht="59.25" customHeight="1">
      <c r="A13" s="128"/>
      <c r="B13" s="122"/>
      <c r="C13" s="48" t="s">
        <v>154</v>
      </c>
      <c r="D13" s="36" t="s">
        <v>120</v>
      </c>
      <c r="E13" s="37" t="s">
        <v>233</v>
      </c>
      <c r="F13" s="38" t="s">
        <v>116</v>
      </c>
      <c r="G13" s="38" t="s">
        <v>143</v>
      </c>
      <c r="H13" s="38" t="s">
        <v>117</v>
      </c>
    </row>
    <row r="14" spans="1:8" s="93" customFormat="1" ht="59.25" customHeight="1">
      <c r="A14" s="128"/>
      <c r="B14" s="122"/>
      <c r="C14" s="48" t="s">
        <v>63</v>
      </c>
      <c r="D14" s="36" t="s">
        <v>120</v>
      </c>
      <c r="E14" s="45" t="s">
        <v>231</v>
      </c>
      <c r="F14" s="35" t="s">
        <v>116</v>
      </c>
      <c r="G14" s="35" t="s">
        <v>118</v>
      </c>
      <c r="H14" s="38" t="s">
        <v>116</v>
      </c>
    </row>
    <row r="15" spans="1:8" s="93" customFormat="1" ht="59.25" customHeight="1">
      <c r="A15" s="128"/>
      <c r="B15" s="122"/>
      <c r="C15" s="50" t="s">
        <v>139</v>
      </c>
      <c r="D15" s="36" t="s">
        <v>121</v>
      </c>
      <c r="E15" s="45" t="s">
        <v>124</v>
      </c>
      <c r="F15" s="35" t="s">
        <v>116</v>
      </c>
      <c r="G15" s="38" t="s">
        <v>135</v>
      </c>
      <c r="H15" s="38" t="s">
        <v>117</v>
      </c>
    </row>
    <row r="16" spans="1:8" s="93" customFormat="1" ht="59.25" customHeight="1">
      <c r="A16" s="129"/>
      <c r="B16" s="122"/>
      <c r="C16" s="49" t="s">
        <v>60</v>
      </c>
      <c r="D16" s="36" t="s">
        <v>120</v>
      </c>
      <c r="E16" s="37" t="s">
        <v>233</v>
      </c>
      <c r="F16" s="35" t="s">
        <v>116</v>
      </c>
      <c r="G16" s="38" t="s">
        <v>122</v>
      </c>
      <c r="H16" s="35" t="s">
        <v>116</v>
      </c>
    </row>
    <row r="17" spans="1:8" s="93" customFormat="1" ht="59.25" customHeight="1">
      <c r="A17" s="129"/>
      <c r="B17" s="122"/>
      <c r="C17" s="49" t="s">
        <v>144</v>
      </c>
      <c r="D17" s="36" t="s">
        <v>121</v>
      </c>
      <c r="E17" s="37" t="s">
        <v>231</v>
      </c>
      <c r="F17" s="35" t="s">
        <v>116</v>
      </c>
      <c r="G17" s="38" t="s">
        <v>123</v>
      </c>
      <c r="H17" s="35" t="s">
        <v>117</v>
      </c>
    </row>
    <row r="18" spans="1:8" s="93" customFormat="1" ht="59.25" customHeight="1">
      <c r="A18" s="129"/>
      <c r="B18" s="122"/>
      <c r="C18" s="51" t="s">
        <v>146</v>
      </c>
      <c r="D18" s="36" t="s">
        <v>121</v>
      </c>
      <c r="E18" s="37" t="s">
        <v>234</v>
      </c>
      <c r="F18" s="35" t="s">
        <v>116</v>
      </c>
      <c r="G18" s="38" t="s">
        <v>140</v>
      </c>
      <c r="H18" s="38" t="s">
        <v>116</v>
      </c>
    </row>
    <row r="19" spans="1:8" s="93" customFormat="1" ht="59.25" customHeight="1">
      <c r="A19" s="129"/>
      <c r="B19" s="123"/>
      <c r="C19" s="49" t="s">
        <v>147</v>
      </c>
      <c r="D19" s="36" t="s">
        <v>120</v>
      </c>
      <c r="E19" s="37" t="s">
        <v>235</v>
      </c>
      <c r="F19" s="38" t="s">
        <v>125</v>
      </c>
      <c r="G19" s="38" t="s">
        <v>126</v>
      </c>
      <c r="H19" s="38" t="s">
        <v>116</v>
      </c>
    </row>
    <row r="20" spans="1:8" s="57" customFormat="1" ht="44.25" customHeight="1">
      <c r="A20" s="84"/>
      <c r="B20" s="124" t="s">
        <v>57</v>
      </c>
      <c r="C20" s="40" t="s">
        <v>239</v>
      </c>
      <c r="D20" s="10" t="s">
        <v>121</v>
      </c>
      <c r="E20" s="23" t="s">
        <v>240</v>
      </c>
      <c r="F20" s="26" t="s">
        <v>241</v>
      </c>
      <c r="G20" s="26" t="s">
        <v>242</v>
      </c>
      <c r="H20" s="26" t="s">
        <v>117</v>
      </c>
    </row>
    <row r="21" spans="1:8" s="57" customFormat="1" ht="44.25" customHeight="1">
      <c r="A21" s="84"/>
      <c r="B21" s="124"/>
      <c r="C21" s="41" t="s">
        <v>96</v>
      </c>
      <c r="D21" s="10" t="s">
        <v>121</v>
      </c>
      <c r="E21" s="94">
        <v>45458</v>
      </c>
      <c r="F21" s="26" t="s">
        <v>244</v>
      </c>
      <c r="G21" s="26" t="s">
        <v>244</v>
      </c>
      <c r="H21" s="26" t="s">
        <v>116</v>
      </c>
    </row>
    <row r="22" spans="1:8" s="57" customFormat="1" ht="44.25" customHeight="1">
      <c r="A22" s="84"/>
      <c r="B22" s="124"/>
      <c r="C22" s="41" t="s">
        <v>64</v>
      </c>
      <c r="D22" s="10" t="s">
        <v>121</v>
      </c>
      <c r="E22" s="95">
        <v>45444</v>
      </c>
      <c r="F22" s="26" t="s">
        <v>243</v>
      </c>
      <c r="G22" s="26" t="s">
        <v>245</v>
      </c>
      <c r="H22" s="26" t="s">
        <v>116</v>
      </c>
    </row>
    <row r="23" spans="1:8" s="57" customFormat="1" ht="44.25" customHeight="1">
      <c r="A23" s="84"/>
      <c r="B23" s="124"/>
      <c r="C23" s="41" t="s">
        <v>65</v>
      </c>
      <c r="D23" s="10" t="s">
        <v>148</v>
      </c>
      <c r="E23" s="95">
        <v>45474</v>
      </c>
      <c r="F23" s="26" t="s">
        <v>245</v>
      </c>
      <c r="G23" s="26" t="s">
        <v>246</v>
      </c>
      <c r="H23" s="26" t="s">
        <v>117</v>
      </c>
    </row>
    <row r="24" spans="1:8" s="57" customFormat="1" ht="44.25" customHeight="1">
      <c r="A24" s="84"/>
      <c r="B24" s="124"/>
      <c r="C24" s="41" t="s">
        <v>66</v>
      </c>
      <c r="D24" s="10" t="s">
        <v>247</v>
      </c>
      <c r="E24" s="96">
        <v>45505</v>
      </c>
      <c r="F24" s="26" t="s">
        <v>245</v>
      </c>
      <c r="G24" s="26" t="s">
        <v>248</v>
      </c>
      <c r="H24" s="26" t="s">
        <v>116</v>
      </c>
    </row>
    <row r="25" spans="1:8" s="57" customFormat="1" ht="44.25" customHeight="1">
      <c r="A25" s="84"/>
      <c r="B25" s="124"/>
      <c r="C25" s="41" t="s">
        <v>249</v>
      </c>
      <c r="D25" s="10" t="s">
        <v>148</v>
      </c>
      <c r="E25" s="95">
        <v>45566</v>
      </c>
      <c r="F25" s="26" t="s">
        <v>248</v>
      </c>
      <c r="G25" s="26" t="s">
        <v>250</v>
      </c>
      <c r="H25" s="26" t="s">
        <v>117</v>
      </c>
    </row>
    <row r="26" spans="1:8" s="93" customFormat="1" ht="89.25" customHeight="1">
      <c r="A26" s="47" t="s">
        <v>128</v>
      </c>
      <c r="B26" s="33" t="s">
        <v>251</v>
      </c>
      <c r="C26" s="53" t="s">
        <v>150</v>
      </c>
      <c r="D26" s="36" t="s">
        <v>148</v>
      </c>
      <c r="E26" s="37" t="s">
        <v>236</v>
      </c>
      <c r="F26" s="38" t="s">
        <v>119</v>
      </c>
      <c r="G26" s="38" t="s">
        <v>127</v>
      </c>
      <c r="H26" s="38" t="s">
        <v>117</v>
      </c>
    </row>
    <row r="27" spans="1:8" s="93" customFormat="1" ht="99" customHeight="1">
      <c r="A27" s="117" t="s">
        <v>129</v>
      </c>
      <c r="B27" s="119" t="s">
        <v>80</v>
      </c>
      <c r="C27" s="50" t="s">
        <v>252</v>
      </c>
      <c r="D27" s="36" t="s">
        <v>121</v>
      </c>
      <c r="E27" s="37" t="s">
        <v>237</v>
      </c>
      <c r="F27" s="38" t="s">
        <v>116</v>
      </c>
      <c r="G27" s="38" t="s">
        <v>141</v>
      </c>
      <c r="H27" s="35" t="s">
        <v>117</v>
      </c>
    </row>
    <row r="28" spans="1:8" s="93" customFormat="1" ht="105.75" customHeight="1">
      <c r="A28" s="118"/>
      <c r="B28" s="120"/>
      <c r="C28" s="50" t="s">
        <v>253</v>
      </c>
      <c r="D28" s="97" t="s">
        <v>120</v>
      </c>
      <c r="E28" s="38" t="s">
        <v>235</v>
      </c>
      <c r="F28" s="35" t="s">
        <v>116</v>
      </c>
      <c r="G28" s="38" t="s">
        <v>136</v>
      </c>
      <c r="H28" s="35" t="s">
        <v>117</v>
      </c>
    </row>
    <row r="29" spans="1:8" s="1" customFormat="1" ht="44.25" customHeight="1">
      <c r="A29" s="125" t="s">
        <v>41</v>
      </c>
      <c r="B29" s="119" t="s">
        <v>42</v>
      </c>
      <c r="C29" s="44" t="s">
        <v>132</v>
      </c>
      <c r="D29" s="27"/>
      <c r="E29" s="28"/>
      <c r="F29" s="85"/>
      <c r="G29" s="85"/>
      <c r="H29" s="85"/>
    </row>
    <row r="30" spans="1:8" s="1" customFormat="1" ht="44.25" customHeight="1">
      <c r="A30" s="126"/>
      <c r="B30" s="127"/>
      <c r="C30" s="82" t="s">
        <v>100</v>
      </c>
      <c r="D30" s="27"/>
      <c r="E30" s="28"/>
      <c r="F30" s="85"/>
      <c r="G30" s="85"/>
      <c r="H30" s="85"/>
    </row>
    <row r="31" spans="1:8" s="1" customFormat="1" ht="44.25" customHeight="1">
      <c r="A31" s="126"/>
      <c r="B31" s="127"/>
      <c r="C31" s="44" t="s">
        <v>133</v>
      </c>
      <c r="D31" s="27"/>
      <c r="E31" s="28"/>
      <c r="F31" s="85"/>
      <c r="G31" s="85"/>
      <c r="H31" s="85"/>
    </row>
    <row r="32" spans="1:8" s="1" customFormat="1" ht="44.25" customHeight="1">
      <c r="A32" s="126"/>
      <c r="B32" s="127"/>
      <c r="C32" s="44"/>
      <c r="D32" s="27"/>
      <c r="E32" s="28"/>
      <c r="F32" s="85"/>
      <c r="G32" s="85"/>
      <c r="H32" s="85"/>
    </row>
    <row r="33" spans="1:8" s="56" customFormat="1" ht="57.75" customHeight="1">
      <c r="A33" s="113" t="s">
        <v>44</v>
      </c>
      <c r="B33" s="19" t="s">
        <v>130</v>
      </c>
      <c r="C33" s="114" t="s">
        <v>153</v>
      </c>
      <c r="D33" s="112" t="s">
        <v>254</v>
      </c>
      <c r="E33" s="110" t="s">
        <v>238</v>
      </c>
      <c r="F33" s="111" t="s">
        <v>116</v>
      </c>
      <c r="G33" s="109" t="s">
        <v>137</v>
      </c>
      <c r="H33" s="109" t="s">
        <v>117</v>
      </c>
    </row>
    <row r="34" spans="1:8" s="93" customFormat="1" ht="57.75" customHeight="1">
      <c r="A34" s="113"/>
      <c r="B34" s="19" t="s">
        <v>131</v>
      </c>
      <c r="C34" s="115"/>
      <c r="D34" s="112"/>
      <c r="E34" s="110"/>
      <c r="F34" s="111"/>
      <c r="G34" s="109"/>
      <c r="H34" s="111"/>
    </row>
    <row r="35" spans="1:8" s="93" customFormat="1" ht="57.75" customHeight="1">
      <c r="A35" s="113"/>
      <c r="B35" s="20" t="s">
        <v>149</v>
      </c>
      <c r="C35" s="116"/>
      <c r="D35" s="112"/>
      <c r="E35" s="110"/>
      <c r="F35" s="111"/>
      <c r="G35" s="109"/>
      <c r="H35" s="111"/>
    </row>
    <row r="36" spans="1:8" customFormat="1" ht="44.25" customHeight="1">
      <c r="A36" s="130" t="s">
        <v>45</v>
      </c>
      <c r="B36" s="131" t="s">
        <v>18</v>
      </c>
      <c r="C36" s="44" t="s">
        <v>104</v>
      </c>
      <c r="D36" s="22"/>
      <c r="E36" s="24"/>
      <c r="F36" s="98"/>
      <c r="G36" s="98"/>
      <c r="H36" s="98"/>
    </row>
    <row r="37" spans="1:8" customFormat="1" ht="44.25" customHeight="1">
      <c r="A37" s="130"/>
      <c r="B37" s="131"/>
      <c r="C37" s="46" t="s">
        <v>71</v>
      </c>
      <c r="D37" s="22" t="s">
        <v>148</v>
      </c>
      <c r="E37" s="24"/>
      <c r="F37" s="98"/>
      <c r="G37" s="98"/>
      <c r="H37" s="98"/>
    </row>
    <row r="38" spans="1:8" customFormat="1" ht="44.25" customHeight="1">
      <c r="A38" s="130"/>
      <c r="B38" s="131" t="s">
        <v>23</v>
      </c>
      <c r="C38" s="44" t="s">
        <v>105</v>
      </c>
      <c r="D38" s="22"/>
      <c r="E38" s="24"/>
      <c r="F38" s="98"/>
      <c r="G38" s="98"/>
      <c r="H38" s="98"/>
    </row>
    <row r="39" spans="1:8" customFormat="1" ht="44.25" customHeight="1">
      <c r="A39" s="130"/>
      <c r="B39" s="131"/>
      <c r="C39" s="44" t="s">
        <v>24</v>
      </c>
      <c r="D39" s="22"/>
      <c r="E39" s="24"/>
      <c r="F39" s="98"/>
      <c r="G39" s="98"/>
      <c r="H39" s="98"/>
    </row>
    <row r="40" spans="1:8">
      <c r="A40" s="52"/>
    </row>
  </sheetData>
  <mergeCells count="25">
    <mergeCell ref="F10:G10"/>
    <mergeCell ref="H10:H11"/>
    <mergeCell ref="A12:A19"/>
    <mergeCell ref="A36:A39"/>
    <mergeCell ref="B36:B37"/>
    <mergeCell ref="B38:B39"/>
    <mergeCell ref="A33:A35"/>
    <mergeCell ref="C33:C35"/>
    <mergeCell ref="A27:A28"/>
    <mergeCell ref="B27:B28"/>
    <mergeCell ref="B12:B19"/>
    <mergeCell ref="B20:B25"/>
    <mergeCell ref="A29:A32"/>
    <mergeCell ref="B29:B32"/>
    <mergeCell ref="G33:G35"/>
    <mergeCell ref="E33:E35"/>
    <mergeCell ref="F33:F35"/>
    <mergeCell ref="D33:D35"/>
    <mergeCell ref="H33:H35"/>
    <mergeCell ref="A7:E7"/>
    <mergeCell ref="A10:A11"/>
    <mergeCell ref="B10:B11"/>
    <mergeCell ref="C10:C11"/>
    <mergeCell ref="D10:D11"/>
    <mergeCell ref="E10:E11"/>
  </mergeCells>
  <hyperlinks>
    <hyperlink ref="B4" r:id="rId1" xr:uid="{00000000-0004-0000-0200-000000000000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"/>
  <sheetViews>
    <sheetView workbookViewId="0">
      <pane ySplit="1" topLeftCell="A2" activePane="bottomLeft" state="frozen"/>
      <selection pane="bottomLeft" activeCell="E16" sqref="E16"/>
    </sheetView>
  </sheetViews>
  <sheetFormatPr baseColWidth="10" defaultColWidth="10.6640625" defaultRowHeight="15"/>
  <cols>
    <col min="1" max="1" width="23.33203125" style="56" customWidth="1"/>
    <col min="2" max="2" width="40.5" style="56" customWidth="1"/>
    <col min="3" max="3" width="23.33203125" style="56" customWidth="1"/>
    <col min="4" max="4" width="23.33203125" style="57" customWidth="1"/>
    <col min="5" max="6" width="23.33203125" style="56" customWidth="1"/>
  </cols>
  <sheetData>
    <row r="1" spans="1:6" ht="16">
      <c r="A1" s="54" t="s">
        <v>14</v>
      </c>
      <c r="B1" s="54" t="s">
        <v>109</v>
      </c>
      <c r="C1" s="54" t="s">
        <v>155</v>
      </c>
      <c r="D1" s="81" t="s">
        <v>156</v>
      </c>
      <c r="E1" s="55" t="s">
        <v>111</v>
      </c>
      <c r="F1" s="54" t="s">
        <v>112</v>
      </c>
    </row>
    <row r="2" spans="1:6" ht="15" customHeight="1">
      <c r="A2" s="121" t="s">
        <v>22</v>
      </c>
      <c r="B2" s="48" t="s">
        <v>145</v>
      </c>
      <c r="C2" s="26" t="s">
        <v>171</v>
      </c>
      <c r="D2" s="26" t="s">
        <v>208</v>
      </c>
      <c r="E2" s="34" t="s">
        <v>230</v>
      </c>
      <c r="F2" s="38" t="s">
        <v>134</v>
      </c>
    </row>
    <row r="3" spans="1:6" ht="32">
      <c r="A3" s="122"/>
      <c r="B3" s="48" t="s">
        <v>154</v>
      </c>
      <c r="C3" s="26" t="s">
        <v>159</v>
      </c>
      <c r="D3" s="26" t="s">
        <v>173</v>
      </c>
      <c r="E3" s="37" t="s">
        <v>230</v>
      </c>
      <c r="F3" s="38" t="s">
        <v>143</v>
      </c>
    </row>
    <row r="4" spans="1:6" ht="32">
      <c r="A4" s="122"/>
      <c r="B4" s="48" t="s">
        <v>63</v>
      </c>
      <c r="C4" s="26" t="s">
        <v>170</v>
      </c>
      <c r="D4" s="26" t="s">
        <v>174</v>
      </c>
      <c r="E4" s="45" t="s">
        <v>231</v>
      </c>
      <c r="F4" s="35" t="s">
        <v>118</v>
      </c>
    </row>
    <row r="5" spans="1:6" ht="32">
      <c r="A5" s="122"/>
      <c r="B5" s="50" t="s">
        <v>139</v>
      </c>
      <c r="C5" s="26" t="s">
        <v>159</v>
      </c>
      <c r="D5" s="26" t="s">
        <v>210</v>
      </c>
      <c r="E5" s="45" t="s">
        <v>232</v>
      </c>
      <c r="F5" s="38" t="s">
        <v>207</v>
      </c>
    </row>
    <row r="6" spans="1:6" ht="16">
      <c r="A6" s="122"/>
      <c r="B6" s="49" t="s">
        <v>60</v>
      </c>
      <c r="C6" s="26" t="s">
        <v>157</v>
      </c>
      <c r="D6" s="26" t="s">
        <v>158</v>
      </c>
      <c r="E6" s="37" t="s">
        <v>233</v>
      </c>
      <c r="F6" s="38" t="s">
        <v>122</v>
      </c>
    </row>
    <row r="7" spans="1:6" ht="64">
      <c r="A7" s="122"/>
      <c r="B7" s="49" t="s">
        <v>144</v>
      </c>
      <c r="C7" s="26" t="s">
        <v>159</v>
      </c>
      <c r="D7" s="26" t="s">
        <v>188</v>
      </c>
      <c r="E7" s="37" t="s">
        <v>231</v>
      </c>
      <c r="F7" s="38" t="s">
        <v>123</v>
      </c>
    </row>
    <row r="8" spans="1:6" ht="64">
      <c r="A8" s="122"/>
      <c r="B8" s="51" t="s">
        <v>146</v>
      </c>
      <c r="C8" s="26" t="s">
        <v>172</v>
      </c>
      <c r="D8" s="26" t="s">
        <v>175</v>
      </c>
      <c r="E8" s="37" t="s">
        <v>234</v>
      </c>
      <c r="F8" s="38" t="s">
        <v>140</v>
      </c>
    </row>
    <row r="9" spans="1:6" ht="16">
      <c r="A9" s="123"/>
      <c r="B9" s="49" t="s">
        <v>147</v>
      </c>
      <c r="C9" s="26" t="s">
        <v>172</v>
      </c>
      <c r="D9" s="26" t="s">
        <v>176</v>
      </c>
      <c r="E9" s="37" t="s">
        <v>235</v>
      </c>
      <c r="F9" s="38" t="s">
        <v>126</v>
      </c>
    </row>
    <row r="10" spans="1:6" ht="80">
      <c r="A10" s="33" t="s">
        <v>84</v>
      </c>
      <c r="B10" s="53" t="s">
        <v>150</v>
      </c>
      <c r="C10" s="26" t="s">
        <v>159</v>
      </c>
      <c r="D10" s="26" t="s">
        <v>209</v>
      </c>
      <c r="E10" s="37" t="s">
        <v>236</v>
      </c>
      <c r="F10" s="38" t="s">
        <v>127</v>
      </c>
    </row>
    <row r="11" spans="1:6" ht="80">
      <c r="A11" s="119" t="s">
        <v>80</v>
      </c>
      <c r="B11" s="50" t="s">
        <v>152</v>
      </c>
      <c r="C11" s="26" t="s">
        <v>159</v>
      </c>
      <c r="D11" s="26" t="s">
        <v>177</v>
      </c>
      <c r="E11" s="37" t="s">
        <v>237</v>
      </c>
      <c r="F11" s="38" t="s">
        <v>141</v>
      </c>
    </row>
    <row r="12" spans="1:6" ht="96">
      <c r="A12" s="120"/>
      <c r="B12" s="50" t="s">
        <v>151</v>
      </c>
      <c r="C12" s="26" t="s">
        <v>159</v>
      </c>
      <c r="D12" s="26" t="s">
        <v>211</v>
      </c>
      <c r="E12" s="37" t="s">
        <v>235</v>
      </c>
      <c r="F12" s="38" t="s">
        <v>136</v>
      </c>
    </row>
    <row r="13" spans="1:6" ht="64.5" customHeight="1">
      <c r="A13" s="19" t="s">
        <v>130</v>
      </c>
      <c r="B13" s="114" t="s">
        <v>178</v>
      </c>
      <c r="C13" s="160" t="s">
        <v>159</v>
      </c>
      <c r="D13" s="163" t="s">
        <v>209</v>
      </c>
      <c r="E13" s="157" t="s">
        <v>238</v>
      </c>
      <c r="F13" s="154" t="s">
        <v>137</v>
      </c>
    </row>
    <row r="14" spans="1:6" ht="64">
      <c r="A14" s="19" t="s">
        <v>131</v>
      </c>
      <c r="B14" s="115"/>
      <c r="C14" s="161"/>
      <c r="D14" s="164"/>
      <c r="E14" s="158"/>
      <c r="F14" s="155"/>
    </row>
    <row r="15" spans="1:6" ht="72.75" customHeight="1">
      <c r="A15" s="20" t="s">
        <v>149</v>
      </c>
      <c r="B15" s="116"/>
      <c r="C15" s="162"/>
      <c r="D15" s="165"/>
      <c r="E15" s="159"/>
      <c r="F15" s="156"/>
    </row>
  </sheetData>
  <mergeCells count="7">
    <mergeCell ref="A2:A9"/>
    <mergeCell ref="B13:B15"/>
    <mergeCell ref="F13:F15"/>
    <mergeCell ref="E13:E15"/>
    <mergeCell ref="A11:A12"/>
    <mergeCell ref="C13:C15"/>
    <mergeCell ref="D13:D1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zoomScale="80" zoomScaleNormal="80" workbookViewId="0">
      <pane ySplit="2" topLeftCell="A4" activePane="bottomLeft" state="frozen"/>
      <selection pane="bottomLeft" activeCell="A39" sqref="A39"/>
    </sheetView>
  </sheetViews>
  <sheetFormatPr baseColWidth="10" defaultColWidth="10.6640625" defaultRowHeight="15"/>
  <cols>
    <col min="1" max="1" width="76.33203125" customWidth="1"/>
    <col min="2" max="2" width="29.1640625" customWidth="1"/>
    <col min="3" max="3" width="11.6640625" customWidth="1"/>
    <col min="4" max="7" width="18.6640625" customWidth="1"/>
    <col min="8" max="8" width="32" customWidth="1"/>
  </cols>
  <sheetData>
    <row r="1" spans="1:8" ht="20">
      <c r="A1" s="166" t="s">
        <v>160</v>
      </c>
      <c r="B1" s="167"/>
      <c r="C1" s="167"/>
      <c r="D1" s="167"/>
      <c r="E1" s="167"/>
      <c r="F1" s="167"/>
      <c r="G1" s="167"/>
      <c r="H1" s="168"/>
    </row>
    <row r="2" spans="1:8" ht="42">
      <c r="A2" s="58" t="s">
        <v>161</v>
      </c>
      <c r="B2" s="59" t="s">
        <v>162</v>
      </c>
      <c r="C2" s="60" t="s">
        <v>163</v>
      </c>
      <c r="D2" s="60" t="s">
        <v>164</v>
      </c>
      <c r="E2" s="61" t="s">
        <v>165</v>
      </c>
      <c r="F2" s="61" t="s">
        <v>166</v>
      </c>
      <c r="G2" s="58" t="s">
        <v>113</v>
      </c>
      <c r="H2" s="58" t="s">
        <v>167</v>
      </c>
    </row>
    <row r="3" spans="1:8" ht="27.75" customHeight="1">
      <c r="A3" s="80" t="s">
        <v>202</v>
      </c>
      <c r="B3" s="63" t="s">
        <v>205</v>
      </c>
      <c r="C3" s="64">
        <v>1</v>
      </c>
      <c r="D3" s="64">
        <v>1</v>
      </c>
      <c r="E3" s="64">
        <v>5000</v>
      </c>
      <c r="F3" s="64">
        <f>E3*D3*C3</f>
        <v>5000</v>
      </c>
      <c r="G3" s="62" t="s">
        <v>168</v>
      </c>
      <c r="H3" s="65"/>
    </row>
    <row r="4" spans="1:8" ht="27.75" customHeight="1">
      <c r="A4" s="169" t="s">
        <v>179</v>
      </c>
      <c r="B4" s="63" t="s">
        <v>204</v>
      </c>
      <c r="C4" s="64">
        <v>1</v>
      </c>
      <c r="D4" s="64">
        <v>1</v>
      </c>
      <c r="E4" s="64">
        <v>20000</v>
      </c>
      <c r="F4" s="64">
        <f>E4*D4*C4</f>
        <v>20000</v>
      </c>
      <c r="G4" s="62" t="s">
        <v>168</v>
      </c>
      <c r="H4" s="65"/>
    </row>
    <row r="5" spans="1:8" ht="27.75" customHeight="1">
      <c r="A5" s="170"/>
      <c r="B5" s="63" t="s">
        <v>187</v>
      </c>
      <c r="C5" s="64">
        <v>15</v>
      </c>
      <c r="D5" s="64">
        <v>1</v>
      </c>
      <c r="E5" s="64">
        <v>2500</v>
      </c>
      <c r="F5" s="64">
        <f>E5*D5*C5</f>
        <v>37500</v>
      </c>
      <c r="G5" s="62" t="s">
        <v>168</v>
      </c>
      <c r="H5" s="65"/>
    </row>
    <row r="6" spans="1:8" ht="41.25" customHeight="1">
      <c r="A6" s="62" t="s">
        <v>203</v>
      </c>
      <c r="B6" s="76" t="s">
        <v>116</v>
      </c>
      <c r="C6" s="64">
        <v>0</v>
      </c>
      <c r="D6" s="64">
        <v>0</v>
      </c>
      <c r="E6" s="64">
        <v>0</v>
      </c>
      <c r="F6" s="64">
        <f t="shared" ref="F6:F18" si="0">E6*D6*C6</f>
        <v>0</v>
      </c>
      <c r="G6" s="62" t="s">
        <v>116</v>
      </c>
      <c r="H6" s="65"/>
    </row>
    <row r="7" spans="1:8" ht="27.75" customHeight="1">
      <c r="A7" s="62" t="s">
        <v>180</v>
      </c>
      <c r="B7" s="63" t="s">
        <v>204</v>
      </c>
      <c r="C7" s="64">
        <v>1</v>
      </c>
      <c r="D7" s="64">
        <v>1</v>
      </c>
      <c r="E7" s="64">
        <v>20000</v>
      </c>
      <c r="F7" s="64">
        <f t="shared" si="0"/>
        <v>20000</v>
      </c>
      <c r="G7" s="62" t="s">
        <v>168</v>
      </c>
      <c r="H7" s="65"/>
    </row>
    <row r="8" spans="1:8" ht="27.75" customHeight="1">
      <c r="A8" s="62" t="s">
        <v>181</v>
      </c>
      <c r="B8" s="76" t="s">
        <v>116</v>
      </c>
      <c r="C8" s="64">
        <v>0</v>
      </c>
      <c r="D8" s="64">
        <v>1</v>
      </c>
      <c r="E8" s="64">
        <v>0</v>
      </c>
      <c r="F8" s="64">
        <f t="shared" si="0"/>
        <v>0</v>
      </c>
      <c r="G8" s="62" t="s">
        <v>116</v>
      </c>
      <c r="H8" s="65"/>
    </row>
    <row r="9" spans="1:8" ht="27.75" customHeight="1">
      <c r="A9" s="66" t="s">
        <v>185</v>
      </c>
      <c r="B9" s="77"/>
      <c r="C9" s="68"/>
      <c r="D9" s="68"/>
      <c r="E9" s="69"/>
      <c r="F9" s="68">
        <f>SUM(F3:F8)</f>
        <v>82500</v>
      </c>
      <c r="G9" s="70"/>
      <c r="H9" s="70"/>
    </row>
    <row r="10" spans="1:8" ht="27.75" customHeight="1">
      <c r="A10" s="192" t="s">
        <v>190</v>
      </c>
      <c r="B10" s="193"/>
      <c r="C10" s="193"/>
      <c r="D10" s="193"/>
      <c r="E10" s="193"/>
      <c r="F10" s="193"/>
      <c r="G10" s="193"/>
      <c r="H10" s="194"/>
    </row>
    <row r="11" spans="1:8" ht="27.75" customHeight="1">
      <c r="A11" s="62" t="s">
        <v>191</v>
      </c>
      <c r="B11" s="63" t="s">
        <v>204</v>
      </c>
      <c r="C11" s="64">
        <v>1</v>
      </c>
      <c r="D11" s="64">
        <v>1</v>
      </c>
      <c r="E11" s="64">
        <v>20000</v>
      </c>
      <c r="F11" s="64">
        <f t="shared" si="0"/>
        <v>20000</v>
      </c>
      <c r="G11" s="62" t="s">
        <v>168</v>
      </c>
      <c r="H11" s="65"/>
    </row>
    <row r="12" spans="1:8" ht="27.75" customHeight="1">
      <c r="A12" s="169" t="s">
        <v>193</v>
      </c>
      <c r="B12" s="63" t="s">
        <v>204</v>
      </c>
      <c r="C12" s="64">
        <v>1</v>
      </c>
      <c r="D12" s="64">
        <v>1</v>
      </c>
      <c r="E12" s="64">
        <v>10000</v>
      </c>
      <c r="F12" s="64">
        <f t="shared" ref="F12" si="1">E12*D12*C12</f>
        <v>10000</v>
      </c>
      <c r="G12" s="62" t="s">
        <v>168</v>
      </c>
      <c r="H12" s="65"/>
    </row>
    <row r="13" spans="1:8" ht="27.75" customHeight="1">
      <c r="A13" s="170"/>
      <c r="B13" s="63" t="s">
        <v>187</v>
      </c>
      <c r="C13" s="64">
        <v>6</v>
      </c>
      <c r="D13" s="64">
        <v>1</v>
      </c>
      <c r="E13" s="64">
        <v>2500</v>
      </c>
      <c r="F13" s="64">
        <f>E13*D13*C13</f>
        <v>15000</v>
      </c>
      <c r="G13" s="62" t="s">
        <v>168</v>
      </c>
      <c r="H13" s="65"/>
    </row>
    <row r="14" spans="1:8" ht="27.75" customHeight="1">
      <c r="A14" s="62" t="s">
        <v>192</v>
      </c>
      <c r="B14" s="76" t="s">
        <v>116</v>
      </c>
      <c r="C14" s="64">
        <v>1</v>
      </c>
      <c r="D14" s="64">
        <v>1</v>
      </c>
      <c r="E14" s="64">
        <v>0</v>
      </c>
      <c r="F14" s="64">
        <f t="shared" si="0"/>
        <v>0</v>
      </c>
      <c r="G14" s="62" t="s">
        <v>116</v>
      </c>
      <c r="H14" s="65"/>
    </row>
    <row r="15" spans="1:8" ht="27.75" customHeight="1">
      <c r="A15" s="66" t="s">
        <v>189</v>
      </c>
      <c r="B15" s="77"/>
      <c r="C15" s="68"/>
      <c r="D15" s="68"/>
      <c r="E15" s="69"/>
      <c r="F15" s="68">
        <f>SUM(F10:F14)</f>
        <v>45000</v>
      </c>
      <c r="G15" s="70"/>
      <c r="H15" s="70"/>
    </row>
    <row r="16" spans="1:8" ht="27.75" customHeight="1">
      <c r="A16" s="192" t="s">
        <v>194</v>
      </c>
      <c r="B16" s="193"/>
      <c r="C16" s="193"/>
      <c r="D16" s="193"/>
      <c r="E16" s="193"/>
      <c r="F16" s="193"/>
      <c r="G16" s="193"/>
      <c r="H16" s="194"/>
    </row>
    <row r="17" spans="1:8" ht="27.75" customHeight="1">
      <c r="A17" s="62" t="s">
        <v>195</v>
      </c>
      <c r="B17" s="76" t="s">
        <v>116</v>
      </c>
      <c r="C17" s="64">
        <v>0</v>
      </c>
      <c r="D17" s="64">
        <v>0</v>
      </c>
      <c r="E17" s="64">
        <v>0</v>
      </c>
      <c r="F17" s="64">
        <f t="shared" si="0"/>
        <v>0</v>
      </c>
      <c r="G17" s="62" t="s">
        <v>116</v>
      </c>
      <c r="H17" s="65"/>
    </row>
    <row r="18" spans="1:8" ht="47.25" customHeight="1">
      <c r="A18" s="62" t="s">
        <v>196</v>
      </c>
      <c r="B18" s="76" t="s">
        <v>116</v>
      </c>
      <c r="C18" s="64">
        <v>0</v>
      </c>
      <c r="D18" s="64">
        <v>0</v>
      </c>
      <c r="E18" s="64">
        <v>0</v>
      </c>
      <c r="F18" s="64">
        <f t="shared" si="0"/>
        <v>0</v>
      </c>
      <c r="G18" s="62" t="s">
        <v>116</v>
      </c>
      <c r="H18" s="65"/>
    </row>
    <row r="19" spans="1:8" ht="27.75" customHeight="1">
      <c r="A19" s="66" t="s">
        <v>169</v>
      </c>
      <c r="B19" s="77"/>
      <c r="C19" s="68"/>
      <c r="D19" s="68"/>
      <c r="E19" s="69"/>
      <c r="F19" s="68">
        <f>SUM(F17:F18)</f>
        <v>0</v>
      </c>
      <c r="G19" s="70"/>
      <c r="H19" s="70"/>
    </row>
    <row r="20" spans="1:8" ht="46.5" customHeight="1">
      <c r="A20" s="189" t="s">
        <v>197</v>
      </c>
      <c r="B20" s="190"/>
      <c r="C20" s="190"/>
      <c r="D20" s="190"/>
      <c r="E20" s="190"/>
      <c r="F20" s="190"/>
      <c r="G20" s="190"/>
      <c r="H20" s="191"/>
    </row>
    <row r="21" spans="1:8" ht="27.75" customHeight="1">
      <c r="A21" s="71" t="s">
        <v>198</v>
      </c>
      <c r="B21" s="171" t="s">
        <v>206</v>
      </c>
      <c r="C21" s="174">
        <v>1</v>
      </c>
      <c r="D21" s="174">
        <v>1</v>
      </c>
      <c r="E21" s="174">
        <v>20000</v>
      </c>
      <c r="F21" s="177">
        <f>E21*D21*C21</f>
        <v>20000</v>
      </c>
      <c r="G21" s="180" t="s">
        <v>168</v>
      </c>
      <c r="H21" s="183"/>
    </row>
    <row r="22" spans="1:8" ht="27.75" customHeight="1">
      <c r="A22" s="71" t="s">
        <v>199</v>
      </c>
      <c r="B22" s="172"/>
      <c r="C22" s="175"/>
      <c r="D22" s="175"/>
      <c r="E22" s="175"/>
      <c r="F22" s="178"/>
      <c r="G22" s="181"/>
      <c r="H22" s="184"/>
    </row>
    <row r="23" spans="1:8" ht="27.75" customHeight="1">
      <c r="A23" s="71" t="s">
        <v>200</v>
      </c>
      <c r="B23" s="173"/>
      <c r="C23" s="176"/>
      <c r="D23" s="176"/>
      <c r="E23" s="176"/>
      <c r="F23" s="179"/>
      <c r="G23" s="182"/>
      <c r="H23" s="185"/>
    </row>
    <row r="24" spans="1:8" ht="27.75" customHeight="1">
      <c r="A24" s="66" t="s">
        <v>201</v>
      </c>
      <c r="B24" s="77"/>
      <c r="C24" s="68"/>
      <c r="D24" s="68"/>
      <c r="E24" s="69"/>
      <c r="F24" s="68">
        <f>+F21</f>
        <v>20000</v>
      </c>
      <c r="G24" s="70"/>
      <c r="H24" s="70"/>
    </row>
    <row r="25" spans="1:8" ht="27.75" customHeight="1">
      <c r="A25" s="186" t="s">
        <v>212</v>
      </c>
      <c r="B25" s="187"/>
      <c r="C25" s="187"/>
      <c r="D25" s="187"/>
      <c r="E25" s="187"/>
      <c r="F25" s="187"/>
      <c r="G25" s="187"/>
      <c r="H25" s="188"/>
    </row>
    <row r="26" spans="1:8" ht="27.75" customHeight="1">
      <c r="A26" s="71" t="s">
        <v>213</v>
      </c>
      <c r="B26" s="171" t="s">
        <v>204</v>
      </c>
      <c r="C26" s="174">
        <v>1</v>
      </c>
      <c r="D26" s="174">
        <v>1</v>
      </c>
      <c r="E26" s="174">
        <v>5000</v>
      </c>
      <c r="F26" s="177">
        <f>+C26*D26*E26</f>
        <v>5000</v>
      </c>
      <c r="G26" s="195" t="s">
        <v>168</v>
      </c>
      <c r="H26" s="73"/>
    </row>
    <row r="27" spans="1:8" ht="27.75" customHeight="1">
      <c r="A27" s="71" t="s">
        <v>214</v>
      </c>
      <c r="B27" s="173"/>
      <c r="C27" s="176"/>
      <c r="D27" s="176"/>
      <c r="E27" s="176"/>
      <c r="F27" s="179"/>
      <c r="G27" s="196"/>
      <c r="H27" s="73"/>
    </row>
    <row r="28" spans="1:8" ht="27.75" customHeight="1">
      <c r="A28" s="66" t="s">
        <v>215</v>
      </c>
      <c r="B28" s="77"/>
      <c r="C28" s="68"/>
      <c r="D28" s="68"/>
      <c r="E28" s="69"/>
      <c r="F28" s="68">
        <f>+F26</f>
        <v>5000</v>
      </c>
      <c r="G28" s="70"/>
      <c r="H28" s="70"/>
    </row>
    <row r="29" spans="1:8" ht="27.75" customHeight="1">
      <c r="A29" s="186" t="s">
        <v>216</v>
      </c>
      <c r="B29" s="187"/>
      <c r="C29" s="187"/>
      <c r="D29" s="187"/>
      <c r="E29" s="187"/>
      <c r="F29" s="187"/>
      <c r="G29" s="187"/>
      <c r="H29" s="188"/>
    </row>
    <row r="30" spans="1:8" ht="27.75" customHeight="1">
      <c r="A30" s="71" t="s">
        <v>217</v>
      </c>
      <c r="B30" s="76" t="s">
        <v>116</v>
      </c>
      <c r="C30" s="72">
        <v>0</v>
      </c>
      <c r="D30" s="72">
        <v>0</v>
      </c>
      <c r="E30" s="72">
        <v>0</v>
      </c>
      <c r="F30" s="64">
        <v>0</v>
      </c>
      <c r="G30" s="62" t="s">
        <v>116</v>
      </c>
      <c r="H30" s="73"/>
    </row>
    <row r="31" spans="1:8" ht="47.25" customHeight="1">
      <c r="A31" s="71" t="s">
        <v>218</v>
      </c>
      <c r="B31" s="63" t="s">
        <v>204</v>
      </c>
      <c r="C31" s="72">
        <v>1</v>
      </c>
      <c r="D31" s="72">
        <v>1</v>
      </c>
      <c r="E31" s="72">
        <v>100000</v>
      </c>
      <c r="F31" s="64">
        <f>+C31*D31*E31</f>
        <v>100000</v>
      </c>
      <c r="G31" s="62" t="s">
        <v>168</v>
      </c>
      <c r="H31" s="73" t="s">
        <v>183</v>
      </c>
    </row>
    <row r="32" spans="1:8" ht="27.75" customHeight="1">
      <c r="A32" s="71" t="s">
        <v>219</v>
      </c>
      <c r="B32" s="76" t="s">
        <v>182</v>
      </c>
      <c r="C32" s="72">
        <v>90</v>
      </c>
      <c r="D32" s="72">
        <v>1</v>
      </c>
      <c r="E32" s="72">
        <v>3000</v>
      </c>
      <c r="F32" s="64">
        <f>+C32*D32*E32</f>
        <v>270000</v>
      </c>
      <c r="G32" s="62" t="s">
        <v>168</v>
      </c>
      <c r="H32" s="73" t="s">
        <v>183</v>
      </c>
    </row>
    <row r="33" spans="1:8" ht="42.75" customHeight="1">
      <c r="A33" s="79" t="s">
        <v>220</v>
      </c>
      <c r="B33" s="78" t="s">
        <v>182</v>
      </c>
      <c r="C33" s="72">
        <v>1</v>
      </c>
      <c r="D33" s="72">
        <v>1</v>
      </c>
      <c r="E33" s="72">
        <v>100000</v>
      </c>
      <c r="F33" s="72">
        <f>+C33*D33*E33</f>
        <v>100000</v>
      </c>
      <c r="G33" s="62" t="s">
        <v>168</v>
      </c>
      <c r="H33" s="73" t="s">
        <v>183</v>
      </c>
    </row>
    <row r="34" spans="1:8" ht="27.75" customHeight="1">
      <c r="A34" s="66" t="s">
        <v>221</v>
      </c>
      <c r="B34" s="77"/>
      <c r="C34" s="68"/>
      <c r="D34" s="68"/>
      <c r="E34" s="69"/>
      <c r="F34" s="68">
        <f>SUM(F30:F33)</f>
        <v>470000</v>
      </c>
      <c r="G34" s="70"/>
      <c r="H34" s="70"/>
    </row>
    <row r="35" spans="1:8" ht="27.75" customHeight="1">
      <c r="A35" s="74" t="s">
        <v>222</v>
      </c>
      <c r="B35" s="78" t="s">
        <v>116</v>
      </c>
      <c r="C35" s="72">
        <v>0</v>
      </c>
      <c r="D35" s="72">
        <v>0</v>
      </c>
      <c r="E35" s="72">
        <v>0</v>
      </c>
      <c r="F35" s="64">
        <f>+C35*D35*E35</f>
        <v>0</v>
      </c>
      <c r="G35" s="62" t="s">
        <v>116</v>
      </c>
      <c r="H35" s="73"/>
    </row>
    <row r="36" spans="1:8" ht="27.75" customHeight="1">
      <c r="A36" s="74" t="s">
        <v>223</v>
      </c>
      <c r="B36" s="63" t="s">
        <v>204</v>
      </c>
      <c r="C36" s="72">
        <v>3</v>
      </c>
      <c r="D36" s="72">
        <v>2</v>
      </c>
      <c r="E36" s="72">
        <v>10000</v>
      </c>
      <c r="F36" s="64">
        <f>+C36*D36*E36</f>
        <v>60000</v>
      </c>
      <c r="G36" s="62" t="s">
        <v>168</v>
      </c>
      <c r="H36" s="75" t="s">
        <v>184</v>
      </c>
    </row>
    <row r="37" spans="1:8" ht="27.75" customHeight="1">
      <c r="A37" s="74" t="s">
        <v>224</v>
      </c>
      <c r="B37" s="76" t="s">
        <v>116</v>
      </c>
      <c r="C37" s="72">
        <v>0</v>
      </c>
      <c r="D37" s="72">
        <v>0</v>
      </c>
      <c r="E37" s="72">
        <v>0</v>
      </c>
      <c r="F37" s="64">
        <f>+C37*D37*E37</f>
        <v>0</v>
      </c>
      <c r="G37" s="62" t="s">
        <v>116</v>
      </c>
      <c r="H37" s="73"/>
    </row>
    <row r="38" spans="1:8" ht="27.75" customHeight="1">
      <c r="A38" s="74" t="s">
        <v>225</v>
      </c>
      <c r="B38" s="76" t="s">
        <v>116</v>
      </c>
      <c r="C38" s="72">
        <v>0</v>
      </c>
      <c r="D38" s="72">
        <v>0</v>
      </c>
      <c r="E38" s="72">
        <v>0</v>
      </c>
      <c r="F38" s="64">
        <f>+C38*D38*E38</f>
        <v>0</v>
      </c>
      <c r="G38" s="62" t="s">
        <v>116</v>
      </c>
      <c r="H38" s="73"/>
    </row>
    <row r="39" spans="1:8" ht="27.75" customHeight="1">
      <c r="A39" s="74" t="s">
        <v>226</v>
      </c>
      <c r="B39" s="76" t="s">
        <v>116</v>
      </c>
      <c r="C39" s="72">
        <v>0</v>
      </c>
      <c r="D39" s="72">
        <v>0</v>
      </c>
      <c r="E39" s="72">
        <v>0</v>
      </c>
      <c r="F39" s="64">
        <f t="shared" ref="F39:F41" si="2">+C39*D39*E39</f>
        <v>0</v>
      </c>
      <c r="G39" s="62" t="s">
        <v>116</v>
      </c>
      <c r="H39" s="73"/>
    </row>
    <row r="40" spans="1:8" ht="27.75" customHeight="1">
      <c r="A40" s="74" t="s">
        <v>227</v>
      </c>
      <c r="B40" s="76" t="s">
        <v>116</v>
      </c>
      <c r="C40" s="72">
        <v>0</v>
      </c>
      <c r="D40" s="72">
        <v>0</v>
      </c>
      <c r="E40" s="72">
        <v>0</v>
      </c>
      <c r="F40" s="64">
        <f t="shared" si="2"/>
        <v>0</v>
      </c>
      <c r="G40" s="62" t="s">
        <v>116</v>
      </c>
      <c r="H40" s="73"/>
    </row>
    <row r="41" spans="1:8" ht="27.75" customHeight="1">
      <c r="A41" s="74" t="s">
        <v>228</v>
      </c>
      <c r="B41" s="76" t="s">
        <v>116</v>
      </c>
      <c r="C41" s="72">
        <v>0</v>
      </c>
      <c r="D41" s="72">
        <v>0</v>
      </c>
      <c r="E41" s="72">
        <v>0</v>
      </c>
      <c r="F41" s="64">
        <f t="shared" si="2"/>
        <v>0</v>
      </c>
      <c r="G41" s="62" t="s">
        <v>116</v>
      </c>
      <c r="H41" s="73"/>
    </row>
    <row r="42" spans="1:8" ht="27.75" customHeight="1">
      <c r="A42" s="66" t="s">
        <v>229</v>
      </c>
      <c r="B42" s="77"/>
      <c r="C42" s="68"/>
      <c r="D42" s="68"/>
      <c r="E42" s="69"/>
      <c r="F42" s="68">
        <f>SUM(F35:F41)</f>
        <v>60000</v>
      </c>
      <c r="G42" s="70"/>
      <c r="H42" s="70"/>
    </row>
    <row r="43" spans="1:8" ht="27.75" customHeight="1">
      <c r="A43" s="66" t="s">
        <v>186</v>
      </c>
      <c r="B43" s="67"/>
      <c r="C43" s="68"/>
      <c r="D43" s="68"/>
      <c r="E43" s="69"/>
      <c r="F43" s="68">
        <f>+F9+F15+F24+F28+F34+F42</f>
        <v>682500</v>
      </c>
      <c r="G43" s="70"/>
      <c r="H43" s="70"/>
    </row>
  </sheetData>
  <autoFilter ref="A2:H43" xr:uid="{00000000-0009-0000-0000-000004000000}"/>
  <mergeCells count="21">
    <mergeCell ref="A29:H29"/>
    <mergeCell ref="A25:H25"/>
    <mergeCell ref="A20:H20"/>
    <mergeCell ref="A16:H16"/>
    <mergeCell ref="A10:H10"/>
    <mergeCell ref="G26:G27"/>
    <mergeCell ref="B26:B27"/>
    <mergeCell ref="C26:C27"/>
    <mergeCell ref="D26:D27"/>
    <mergeCell ref="E26:E27"/>
    <mergeCell ref="F26:F27"/>
    <mergeCell ref="A1:H1"/>
    <mergeCell ref="A4:A5"/>
    <mergeCell ref="B21:B23"/>
    <mergeCell ref="C21:C23"/>
    <mergeCell ref="D21:D23"/>
    <mergeCell ref="E21:E23"/>
    <mergeCell ref="F21:F23"/>
    <mergeCell ref="G21:G23"/>
    <mergeCell ref="H21:H23"/>
    <mergeCell ref="A12:A1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33392-AC9B-C745-9B3B-763668E01DD6}">
  <dimension ref="A1:H41"/>
  <sheetViews>
    <sheetView tabSelected="1" topLeftCell="A7" zoomScaleNormal="100" workbookViewId="0">
      <pane xSplit="2" ySplit="5" topLeftCell="C63" activePane="bottomRight" state="frozen"/>
      <selection activeCell="A7" sqref="A7"/>
      <selection pane="topRight" activeCell="C7" sqref="C7"/>
      <selection pane="bottomLeft" activeCell="A12" sqref="A12"/>
      <selection pane="bottomRight" activeCell="C15" sqref="C15"/>
    </sheetView>
  </sheetViews>
  <sheetFormatPr baseColWidth="10" defaultColWidth="9" defaultRowHeight="15"/>
  <cols>
    <col min="1" max="1" width="19.83203125" style="89" customWidth="1"/>
    <col min="2" max="2" width="26.6640625" style="89" customWidth="1"/>
    <col min="3" max="3" width="38.6640625" style="88" customWidth="1"/>
    <col min="4" max="4" width="17.1640625" style="89" customWidth="1"/>
    <col min="5" max="5" width="16.5" style="89" customWidth="1"/>
    <col min="6" max="7" width="15.6640625" style="89" customWidth="1"/>
    <col min="8" max="8" width="14" style="89" customWidth="1"/>
    <col min="9" max="16384" width="9" style="89"/>
  </cols>
  <sheetData>
    <row r="1" spans="1:8">
      <c r="A1" s="86" t="s">
        <v>0</v>
      </c>
      <c r="B1" s="87">
        <v>44979</v>
      </c>
    </row>
    <row r="2" spans="1:8">
      <c r="A2" s="86" t="s">
        <v>20</v>
      </c>
      <c r="B2" s="90" t="s">
        <v>36</v>
      </c>
    </row>
    <row r="3" spans="1:8">
      <c r="A3" s="86" t="s">
        <v>3</v>
      </c>
      <c r="B3" s="90" t="s">
        <v>37</v>
      </c>
    </row>
    <row r="4" spans="1:8">
      <c r="A4" s="86" t="s">
        <v>1</v>
      </c>
      <c r="B4" s="91" t="s">
        <v>38</v>
      </c>
    </row>
    <row r="5" spans="1:8">
      <c r="A5" s="86" t="s">
        <v>2</v>
      </c>
      <c r="B5" s="90">
        <v>66462723</v>
      </c>
    </row>
    <row r="6" spans="1:8">
      <c r="A6" s="92"/>
    </row>
    <row r="7" spans="1:8" ht="19">
      <c r="A7" s="99" t="s">
        <v>107</v>
      </c>
      <c r="B7" s="100"/>
      <c r="C7" s="100"/>
      <c r="D7" s="100"/>
      <c r="E7" s="100"/>
    </row>
    <row r="8" spans="1:8" ht="6" customHeight="1"/>
    <row r="9" spans="1:8" ht="6" customHeight="1"/>
    <row r="10" spans="1:8">
      <c r="A10" s="101" t="s">
        <v>108</v>
      </c>
      <c r="B10" s="102" t="s">
        <v>14</v>
      </c>
      <c r="C10" s="103" t="s">
        <v>109</v>
      </c>
      <c r="D10" s="105" t="s">
        <v>110</v>
      </c>
      <c r="E10" s="107" t="s">
        <v>111</v>
      </c>
      <c r="F10" s="102" t="s">
        <v>112</v>
      </c>
      <c r="G10" s="102"/>
      <c r="H10" s="101" t="s">
        <v>113</v>
      </c>
    </row>
    <row r="11" spans="1:8" ht="31" customHeight="1">
      <c r="A11" s="101"/>
      <c r="B11" s="102"/>
      <c r="C11" s="104"/>
      <c r="D11" s="106"/>
      <c r="E11" s="108"/>
      <c r="F11" s="83" t="s">
        <v>114</v>
      </c>
      <c r="G11" s="83" t="s">
        <v>115</v>
      </c>
      <c r="H11" s="101"/>
    </row>
    <row r="12" spans="1:8" s="93" customFormat="1" ht="59.25" customHeight="1">
      <c r="A12" s="128" t="s">
        <v>52</v>
      </c>
      <c r="B12" s="121" t="s">
        <v>22</v>
      </c>
      <c r="C12" s="48" t="s">
        <v>255</v>
      </c>
      <c r="D12" s="36" t="s">
        <v>120</v>
      </c>
      <c r="E12" s="37" t="s">
        <v>233</v>
      </c>
      <c r="F12" s="38" t="s">
        <v>116</v>
      </c>
      <c r="G12" s="38" t="s">
        <v>143</v>
      </c>
      <c r="H12" s="38" t="s">
        <v>117</v>
      </c>
    </row>
    <row r="13" spans="1:8" s="93" customFormat="1" ht="59.25" customHeight="1">
      <c r="A13" s="128"/>
      <c r="B13" s="122"/>
      <c r="C13" s="48" t="s">
        <v>256</v>
      </c>
      <c r="D13" s="36" t="s">
        <v>120</v>
      </c>
      <c r="E13" s="37" t="s">
        <v>233</v>
      </c>
      <c r="F13" s="38" t="s">
        <v>116</v>
      </c>
      <c r="G13" s="38" t="s">
        <v>258</v>
      </c>
      <c r="H13" s="38" t="s">
        <v>117</v>
      </c>
    </row>
    <row r="14" spans="1:8" s="93" customFormat="1" ht="59.25" customHeight="1">
      <c r="A14" s="128"/>
      <c r="B14" s="122"/>
      <c r="C14" s="48" t="s">
        <v>257</v>
      </c>
      <c r="D14" s="36" t="s">
        <v>120</v>
      </c>
      <c r="E14" s="45" t="s">
        <v>231</v>
      </c>
      <c r="F14" s="35" t="s">
        <v>116</v>
      </c>
      <c r="G14" s="38" t="s">
        <v>258</v>
      </c>
      <c r="H14" s="38" t="s">
        <v>116</v>
      </c>
    </row>
    <row r="15" spans="1:8" s="93" customFormat="1" ht="59.25" customHeight="1">
      <c r="A15" s="128"/>
      <c r="B15" s="122"/>
      <c r="C15" s="48" t="s">
        <v>260</v>
      </c>
      <c r="D15" s="36"/>
      <c r="E15" s="45"/>
      <c r="F15" s="35"/>
      <c r="G15" s="38"/>
      <c r="H15" s="38"/>
    </row>
    <row r="16" spans="1:8" s="93" customFormat="1" ht="59.25" customHeight="1">
      <c r="A16" s="128"/>
      <c r="B16" s="122"/>
      <c r="C16" s="50" t="s">
        <v>259</v>
      </c>
      <c r="D16" s="36" t="s">
        <v>121</v>
      </c>
      <c r="E16" s="45" t="s">
        <v>124</v>
      </c>
      <c r="F16" s="35" t="s">
        <v>116</v>
      </c>
      <c r="G16" s="38" t="s">
        <v>135</v>
      </c>
      <c r="H16" s="38" t="s">
        <v>117</v>
      </c>
    </row>
    <row r="17" spans="1:8" s="93" customFormat="1" ht="59.25" customHeight="1">
      <c r="A17" s="129"/>
      <c r="B17" s="122"/>
      <c r="C17" s="49" t="s">
        <v>60</v>
      </c>
      <c r="D17" s="36" t="s">
        <v>120</v>
      </c>
      <c r="E17" s="37" t="s">
        <v>233</v>
      </c>
      <c r="F17" s="35" t="s">
        <v>116</v>
      </c>
      <c r="G17" s="38" t="s">
        <v>122</v>
      </c>
      <c r="H17" s="35" t="s">
        <v>116</v>
      </c>
    </row>
    <row r="18" spans="1:8" s="93" customFormat="1" ht="59.25" customHeight="1">
      <c r="A18" s="129"/>
      <c r="B18" s="122"/>
      <c r="C18" s="49" t="s">
        <v>144</v>
      </c>
      <c r="D18" s="36" t="s">
        <v>121</v>
      </c>
      <c r="E18" s="37" t="s">
        <v>231</v>
      </c>
      <c r="F18" s="35" t="s">
        <v>116</v>
      </c>
      <c r="G18" s="38" t="s">
        <v>123</v>
      </c>
      <c r="H18" s="35" t="s">
        <v>117</v>
      </c>
    </row>
    <row r="19" spans="1:8" s="93" customFormat="1" ht="59.25" customHeight="1">
      <c r="A19" s="129"/>
      <c r="B19" s="122"/>
      <c r="C19" s="51" t="s">
        <v>146</v>
      </c>
      <c r="D19" s="36" t="s">
        <v>121</v>
      </c>
      <c r="E19" s="37" t="s">
        <v>234</v>
      </c>
      <c r="F19" s="35" t="s">
        <v>116</v>
      </c>
      <c r="G19" s="38" t="s">
        <v>140</v>
      </c>
      <c r="H19" s="38" t="s">
        <v>116</v>
      </c>
    </row>
    <row r="20" spans="1:8" s="93" customFormat="1" ht="59.25" customHeight="1">
      <c r="A20" s="129"/>
      <c r="B20" s="123"/>
      <c r="C20" s="49" t="s">
        <v>147</v>
      </c>
      <c r="D20" s="36" t="s">
        <v>120</v>
      </c>
      <c r="E20" s="37" t="s">
        <v>235</v>
      </c>
      <c r="F20" s="38" t="s">
        <v>125</v>
      </c>
      <c r="G20" s="38" t="s">
        <v>126</v>
      </c>
      <c r="H20" s="38" t="s">
        <v>116</v>
      </c>
    </row>
    <row r="21" spans="1:8" s="57" customFormat="1" ht="44.25" customHeight="1">
      <c r="A21" s="84"/>
      <c r="B21" s="124" t="s">
        <v>57</v>
      </c>
      <c r="C21" s="40" t="s">
        <v>239</v>
      </c>
      <c r="D21" s="10" t="s">
        <v>121</v>
      </c>
      <c r="E21" s="23" t="s">
        <v>240</v>
      </c>
      <c r="F21" s="26" t="s">
        <v>241</v>
      </c>
      <c r="G21" s="26" t="s">
        <v>242</v>
      </c>
      <c r="H21" s="26" t="s">
        <v>117</v>
      </c>
    </row>
    <row r="22" spans="1:8" s="57" customFormat="1" ht="44.25" customHeight="1">
      <c r="A22" s="84"/>
      <c r="B22" s="124"/>
      <c r="C22" s="41" t="s">
        <v>96</v>
      </c>
      <c r="D22" s="10" t="s">
        <v>121</v>
      </c>
      <c r="E22" s="94">
        <v>45458</v>
      </c>
      <c r="F22" s="26" t="s">
        <v>244</v>
      </c>
      <c r="G22" s="26" t="s">
        <v>244</v>
      </c>
      <c r="H22" s="26" t="s">
        <v>116</v>
      </c>
    </row>
    <row r="23" spans="1:8" s="57" customFormat="1" ht="44.25" customHeight="1">
      <c r="A23" s="84"/>
      <c r="B23" s="124"/>
      <c r="C23" s="41" t="s">
        <v>64</v>
      </c>
      <c r="D23" s="10" t="s">
        <v>121</v>
      </c>
      <c r="E23" s="95">
        <v>45444</v>
      </c>
      <c r="F23" s="26" t="s">
        <v>243</v>
      </c>
      <c r="G23" s="26" t="s">
        <v>245</v>
      </c>
      <c r="H23" s="26" t="s">
        <v>116</v>
      </c>
    </row>
    <row r="24" spans="1:8" s="57" customFormat="1" ht="44.25" customHeight="1">
      <c r="A24" s="84"/>
      <c r="B24" s="124"/>
      <c r="C24" s="41" t="s">
        <v>65</v>
      </c>
      <c r="D24" s="10" t="s">
        <v>148</v>
      </c>
      <c r="E24" s="95">
        <v>45474</v>
      </c>
      <c r="F24" s="26" t="s">
        <v>245</v>
      </c>
      <c r="G24" s="26" t="s">
        <v>246</v>
      </c>
      <c r="H24" s="26" t="s">
        <v>117</v>
      </c>
    </row>
    <row r="25" spans="1:8" s="57" customFormat="1" ht="44.25" customHeight="1">
      <c r="A25" s="84"/>
      <c r="B25" s="124"/>
      <c r="C25" s="41" t="s">
        <v>66</v>
      </c>
      <c r="D25" s="10" t="s">
        <v>247</v>
      </c>
      <c r="E25" s="96">
        <v>45505</v>
      </c>
      <c r="F25" s="26" t="s">
        <v>245</v>
      </c>
      <c r="G25" s="26" t="s">
        <v>248</v>
      </c>
      <c r="H25" s="26" t="s">
        <v>116</v>
      </c>
    </row>
    <row r="26" spans="1:8" s="57" customFormat="1" ht="44.25" customHeight="1">
      <c r="A26" s="84"/>
      <c r="B26" s="124"/>
      <c r="C26" s="41" t="s">
        <v>249</v>
      </c>
      <c r="D26" s="10" t="s">
        <v>148</v>
      </c>
      <c r="E26" s="95">
        <v>45566</v>
      </c>
      <c r="F26" s="26" t="s">
        <v>248</v>
      </c>
      <c r="G26" s="26" t="s">
        <v>250</v>
      </c>
      <c r="H26" s="26" t="s">
        <v>117</v>
      </c>
    </row>
    <row r="27" spans="1:8" s="93" customFormat="1" ht="89.25" customHeight="1">
      <c r="A27" s="47" t="s">
        <v>128</v>
      </c>
      <c r="B27" s="33" t="s">
        <v>251</v>
      </c>
      <c r="C27" s="53" t="s">
        <v>150</v>
      </c>
      <c r="D27" s="36" t="s">
        <v>148</v>
      </c>
      <c r="E27" s="37" t="s">
        <v>236</v>
      </c>
      <c r="F27" s="38" t="s">
        <v>119</v>
      </c>
      <c r="G27" s="38" t="s">
        <v>127</v>
      </c>
      <c r="H27" s="38" t="s">
        <v>117</v>
      </c>
    </row>
    <row r="28" spans="1:8" s="93" customFormat="1" ht="99" customHeight="1">
      <c r="A28" s="117" t="s">
        <v>129</v>
      </c>
      <c r="B28" s="119" t="s">
        <v>80</v>
      </c>
      <c r="C28" s="50" t="s">
        <v>252</v>
      </c>
      <c r="D28" s="36" t="s">
        <v>121</v>
      </c>
      <c r="E28" s="37" t="s">
        <v>237</v>
      </c>
      <c r="F28" s="38" t="s">
        <v>116</v>
      </c>
      <c r="G28" s="38" t="s">
        <v>141</v>
      </c>
      <c r="H28" s="35" t="s">
        <v>117</v>
      </c>
    </row>
    <row r="29" spans="1:8" s="93" customFormat="1" ht="105.75" customHeight="1">
      <c r="A29" s="118"/>
      <c r="B29" s="120"/>
      <c r="C29" s="50" t="s">
        <v>253</v>
      </c>
      <c r="D29" s="97" t="s">
        <v>120</v>
      </c>
      <c r="E29" s="38" t="s">
        <v>235</v>
      </c>
      <c r="F29" s="35" t="s">
        <v>116</v>
      </c>
      <c r="G29" s="38" t="s">
        <v>136</v>
      </c>
      <c r="H29" s="35" t="s">
        <v>117</v>
      </c>
    </row>
    <row r="30" spans="1:8" s="1" customFormat="1" ht="44.25" customHeight="1">
      <c r="A30" s="125" t="s">
        <v>41</v>
      </c>
      <c r="B30" s="119" t="s">
        <v>42</v>
      </c>
      <c r="C30" s="44" t="s">
        <v>132</v>
      </c>
      <c r="D30" s="27"/>
      <c r="E30" s="28"/>
      <c r="F30" s="85"/>
      <c r="G30" s="85"/>
      <c r="H30" s="85"/>
    </row>
    <row r="31" spans="1:8" s="1" customFormat="1" ht="44.25" customHeight="1">
      <c r="A31" s="126"/>
      <c r="B31" s="127"/>
      <c r="C31" s="82" t="s">
        <v>100</v>
      </c>
      <c r="D31" s="27"/>
      <c r="E31" s="28"/>
      <c r="F31" s="85"/>
      <c r="G31" s="85"/>
      <c r="H31" s="85"/>
    </row>
    <row r="32" spans="1:8" s="1" customFormat="1" ht="44.25" customHeight="1">
      <c r="A32" s="126"/>
      <c r="B32" s="127"/>
      <c r="C32" s="44" t="s">
        <v>133</v>
      </c>
      <c r="D32" s="27"/>
      <c r="E32" s="28"/>
      <c r="F32" s="85"/>
      <c r="G32" s="85"/>
      <c r="H32" s="85"/>
    </row>
    <row r="33" spans="1:8" s="1" customFormat="1" ht="44.25" customHeight="1">
      <c r="A33" s="126"/>
      <c r="B33" s="127"/>
      <c r="C33" s="44"/>
      <c r="D33" s="27"/>
      <c r="E33" s="28"/>
      <c r="F33" s="85"/>
      <c r="G33" s="85"/>
      <c r="H33" s="85"/>
    </row>
    <row r="34" spans="1:8" s="56" customFormat="1" ht="57.75" customHeight="1">
      <c r="A34" s="113" t="s">
        <v>44</v>
      </c>
      <c r="B34" s="19" t="s">
        <v>130</v>
      </c>
      <c r="C34" s="114" t="s">
        <v>153</v>
      </c>
      <c r="D34" s="112" t="s">
        <v>254</v>
      </c>
      <c r="E34" s="110" t="s">
        <v>238</v>
      </c>
      <c r="F34" s="111" t="s">
        <v>116</v>
      </c>
      <c r="G34" s="109" t="s">
        <v>137</v>
      </c>
      <c r="H34" s="109" t="s">
        <v>117</v>
      </c>
    </row>
    <row r="35" spans="1:8" s="93" customFormat="1" ht="57.75" customHeight="1">
      <c r="A35" s="113"/>
      <c r="B35" s="19" t="s">
        <v>131</v>
      </c>
      <c r="C35" s="115"/>
      <c r="D35" s="112"/>
      <c r="E35" s="110"/>
      <c r="F35" s="111"/>
      <c r="G35" s="109"/>
      <c r="H35" s="111"/>
    </row>
    <row r="36" spans="1:8" s="93" customFormat="1" ht="57.75" customHeight="1">
      <c r="A36" s="113"/>
      <c r="B36" s="20" t="s">
        <v>149</v>
      </c>
      <c r="C36" s="116"/>
      <c r="D36" s="112"/>
      <c r="E36" s="110"/>
      <c r="F36" s="111"/>
      <c r="G36" s="109"/>
      <c r="H36" s="111"/>
    </row>
    <row r="37" spans="1:8" customFormat="1" ht="44.25" customHeight="1">
      <c r="A37" s="130" t="s">
        <v>45</v>
      </c>
      <c r="B37" s="131" t="s">
        <v>18</v>
      </c>
      <c r="C37" s="44" t="s">
        <v>104</v>
      </c>
      <c r="D37" s="22"/>
      <c r="E37" s="24"/>
      <c r="F37" s="98"/>
      <c r="G37" s="98"/>
      <c r="H37" s="98"/>
    </row>
    <row r="38" spans="1:8" customFormat="1" ht="44.25" customHeight="1">
      <c r="A38" s="130"/>
      <c r="B38" s="131"/>
      <c r="C38" s="46" t="s">
        <v>71</v>
      </c>
      <c r="D38" s="22" t="s">
        <v>148</v>
      </c>
      <c r="E38" s="24"/>
      <c r="F38" s="98"/>
      <c r="G38" s="98"/>
      <c r="H38" s="98"/>
    </row>
    <row r="39" spans="1:8" customFormat="1" ht="44.25" customHeight="1">
      <c r="A39" s="130"/>
      <c r="B39" s="131" t="s">
        <v>23</v>
      </c>
      <c r="C39" s="44" t="s">
        <v>105</v>
      </c>
      <c r="D39" s="22"/>
      <c r="E39" s="24"/>
      <c r="F39" s="98"/>
      <c r="G39" s="98"/>
      <c r="H39" s="98"/>
    </row>
    <row r="40" spans="1:8" customFormat="1" ht="44.25" customHeight="1">
      <c r="A40" s="130"/>
      <c r="B40" s="131"/>
      <c r="C40" s="44" t="s">
        <v>24</v>
      </c>
      <c r="D40" s="22"/>
      <c r="E40" s="24"/>
      <c r="F40" s="98"/>
      <c r="G40" s="98"/>
      <c r="H40" s="98"/>
    </row>
    <row r="41" spans="1:8">
      <c r="A41" s="52"/>
    </row>
  </sheetData>
  <mergeCells count="25">
    <mergeCell ref="F34:F36"/>
    <mergeCell ref="G34:G36"/>
    <mergeCell ref="H34:H36"/>
    <mergeCell ref="A37:A40"/>
    <mergeCell ref="B37:B38"/>
    <mergeCell ref="B39:B40"/>
    <mergeCell ref="A30:A33"/>
    <mergeCell ref="B30:B33"/>
    <mergeCell ref="A34:A36"/>
    <mergeCell ref="C34:C36"/>
    <mergeCell ref="D34:D36"/>
    <mergeCell ref="E34:E36"/>
    <mergeCell ref="F10:G10"/>
    <mergeCell ref="H10:H11"/>
    <mergeCell ref="A12:A20"/>
    <mergeCell ref="B12:B20"/>
    <mergeCell ref="B21:B26"/>
    <mergeCell ref="A28:A29"/>
    <mergeCell ref="B28:B29"/>
    <mergeCell ref="A7:E7"/>
    <mergeCell ref="A10:A11"/>
    <mergeCell ref="B10:B11"/>
    <mergeCell ref="C10:C11"/>
    <mergeCell ref="D10:D11"/>
    <mergeCell ref="E10:E11"/>
  </mergeCells>
  <hyperlinks>
    <hyperlink ref="B4" r:id="rId1" xr:uid="{E7ED4614-8542-0A45-A6C5-772C08D5D763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_Status xmlns="b96f0f7a-702d-4388-8bfe-aea6ec037026" xsi:nil="true"/>
    <Project_Phase xmlns="b96f0f7a-702d-4388-8bfe-aea6ec037026" xsi:nil="true"/>
    <Product xmlns="b96f0f7a-702d-4388-8bfe-aea6ec03702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0B2CC6EF188C41A57CB2909787B1D9" ma:contentTypeVersion="15" ma:contentTypeDescription="Create a new document." ma:contentTypeScope="" ma:versionID="1ba5f12a6ca6d649c3fbf69ef48afc9d">
  <xsd:schema xmlns:xsd="http://www.w3.org/2001/XMLSchema" xmlns:xs="http://www.w3.org/2001/XMLSchema" xmlns:p="http://schemas.microsoft.com/office/2006/metadata/properties" xmlns:ns2="b96f0f7a-702d-4388-8bfe-aea6ec037026" xmlns:ns3="4b328860-9e8f-4721-a73a-fc293303ea32" targetNamespace="http://schemas.microsoft.com/office/2006/metadata/properties" ma:root="true" ma:fieldsID="1ce4d64a4c62d5c45d833e07bfa6a136" ns2:_="" ns3:_="">
    <xsd:import namespace="b96f0f7a-702d-4388-8bfe-aea6ec037026"/>
    <xsd:import namespace="4b328860-9e8f-4721-a73a-fc293303ea32"/>
    <xsd:element name="properties">
      <xsd:complexType>
        <xsd:sequence>
          <xsd:element name="documentManagement">
            <xsd:complexType>
              <xsd:all>
                <xsd:element ref="ns2:Product" minOccurs="0"/>
                <xsd:element ref="ns2:Project_Phase" minOccurs="0"/>
                <xsd:element ref="ns2:Doc_Statu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6f0f7a-702d-4388-8bfe-aea6ec037026" elementFormDefault="qualified">
    <xsd:import namespace="http://schemas.microsoft.com/office/2006/documentManagement/types"/>
    <xsd:import namespace="http://schemas.microsoft.com/office/infopath/2007/PartnerControls"/>
    <xsd:element name="Product" ma:index="8" nillable="true" ma:displayName="Product" ma:list="{73e1bfc0-7c85-496e-b077-a90e19ba7eeb}" ma:internalName="Product" ma:showField="Title">
      <xsd:simpleType>
        <xsd:restriction base="dms:Lookup"/>
      </xsd:simpleType>
    </xsd:element>
    <xsd:element name="Project_Phase" ma:index="9" nillable="true" ma:displayName="Project_Phase" ma:list="{9d4f4201-466d-41f3-a659-01b131b6e711}" ma:internalName="Project_Phase" ma:showField="Title">
      <xsd:simpleType>
        <xsd:restriction base="dms:Lookup"/>
      </xsd:simpleType>
    </xsd:element>
    <xsd:element name="Doc_Status" ma:index="10" nillable="true" ma:displayName="Doc_Status" ma:list="{cbc5f206-36fd-4fa3-89f3-86611add80f0}" ma:internalName="Doc_Status" ma:showField="Title">
      <xsd:simpleType>
        <xsd:restriction base="dms:Lookup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28860-9e8f-4721-a73a-fc293303ea32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6D25B2-04BA-409E-88A9-37B00865AE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1ADD8E5-AD05-41CF-B391-02AC7A140DBA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purl.org/dc/dcmitype/"/>
    <ds:schemaRef ds:uri="4b328860-9e8f-4721-a73a-fc293303ea32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b96f0f7a-702d-4388-8bfe-aea6ec03702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B76B85B-A2BA-4BC1-B3A1-E1B9455E3AA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b96f0f7a-702d-4388-8bfe-aea6ec037026"/>
    <ds:schemaRef ds:uri="4b328860-9e8f-4721-a73a-fc293303ea32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Instructions</vt:lpstr>
      <vt:lpstr>FR_Strategic_Plan</vt:lpstr>
      <vt:lpstr>Plan Opérationnel</vt:lpstr>
      <vt:lpstr>Plan suivi évaluation</vt:lpstr>
      <vt:lpstr>Plan Budgetiser PCI</vt:lpstr>
      <vt:lpstr>Plan Opérationnel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TRAORE, Aboudou</dc:creator>
  <cp:lastModifiedBy>colsyaz@yahoo.fr</cp:lastModifiedBy>
  <dcterms:created xsi:type="dcterms:W3CDTF">2021-11-18T11:31:57Z</dcterms:created>
  <dcterms:modified xsi:type="dcterms:W3CDTF">2026-09-26T20:31:18Z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0x010100C80B2CC6EF188C41A57CB2909787B1D9</vt:lpwstr>
  </property>
</Properties>
</file>