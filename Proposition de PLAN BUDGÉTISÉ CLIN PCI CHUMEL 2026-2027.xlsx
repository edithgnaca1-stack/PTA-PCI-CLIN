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Budgétisé PCI" sheetId="1" state="visible" r:id="rId1"/>
    <sheet xmlns:r="http://schemas.openxmlformats.org/officeDocument/2006/relationships" name="Synthèse Budgét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XOF&quot;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b val="1"/>
      <color rgb="00FFFFFF"/>
      <sz val="10"/>
    </font>
    <font>
      <name val="Calibri"/>
      <b val="1"/>
      <color rgb="001B365D"/>
      <sz val="10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0" fontId="0" fillId="0" borderId="2" pivotButton="0" quotePrefix="0" xfId="0"/>
    <xf numFmtId="0" fontId="4" fillId="0" borderId="2" applyAlignment="1" pivotButton="0" quotePrefix="0" xfId="0">
      <alignment horizontal="left" vertical="top" wrapText="1"/>
    </xf>
    <xf numFmtId="3" fontId="4" fillId="0" borderId="2" applyAlignment="1" pivotButton="0" quotePrefix="0" xfId="0">
      <alignment horizontal="center" vertical="top" wrapText="1"/>
    </xf>
    <xf numFmtId="3" fontId="4" fillId="0" borderId="2" applyAlignment="1" pivotButton="0" quotePrefix="0" xfId="0">
      <alignment horizontal="right" vertical="top" wrapText="1"/>
    </xf>
    <xf numFmtId="3" fontId="5" fillId="0" borderId="2" applyAlignment="1" pivotButton="0" quotePrefix="0" xfId="0">
      <alignment horizontal="right" vertical="top" wrapText="1"/>
    </xf>
    <xf numFmtId="0" fontId="5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3" fontId="3" fillId="4" borderId="2" applyAlignment="1" pivotButton="0" quotePrefix="0" xfId="0">
      <alignment horizontal="right" vertical="center" wrapText="1"/>
    </xf>
    <xf numFmtId="0" fontId="6" fillId="2" borderId="3" applyAlignment="1" pivotButton="0" quotePrefix="0" xfId="0">
      <alignment horizontal="left" vertical="center" wrapText="1"/>
    </xf>
    <xf numFmtId="0" fontId="0" fillId="0" borderId="3" pivotButton="0" quotePrefix="0" xfId="0"/>
    <xf numFmtId="164" fontId="6" fillId="2" borderId="3" applyAlignment="1" pivotButton="0" quotePrefix="0" xfId="0">
      <alignment horizontal="right" vertical="center" wrapText="1"/>
    </xf>
    <xf numFmtId="0" fontId="2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3" fontId="4" fillId="0" borderId="2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6" fillId="2" borderId="3" pivotButton="0" quotePrefix="0" xfId="0"/>
    <xf numFmtId="3" fontId="6" fillId="2" borderId="3" applyAlignment="1" pivotButton="0" quotePrefix="0" xfId="0">
      <alignment horizontal="right" vertical="center" wrapText="1"/>
    </xf>
    <xf numFmtId="0" fontId="6" fillId="2" borderId="3" applyAlignment="1" pivotButton="0" quotePrefix="0" xfId="0">
      <alignment horizontal="right" vertical="center" wrapText="1"/>
    </xf>
    <xf numFmtId="0" fontId="0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12" customWidth="1" min="3" max="3"/>
    <col width="12" customWidth="1" min="4" max="4"/>
    <col width="20" customWidth="1" min="5" max="5"/>
    <col width="22" customWidth="1" min="6" max="6"/>
    <col width="20" customWidth="1" min="7" max="7"/>
    <col width="38" customWidth="1" min="8" max="8"/>
  </cols>
  <sheetData>
    <row r="1" ht="30" customHeight="1">
      <c r="A1" s="1" t="inlineStr">
        <is>
          <t>BUDGET PAO - PLAN DE TRAVAIL ANNUEL CLIN PCI CHUMEL 2026-2027 (RÉAJUSTÉ)</t>
        </is>
      </c>
    </row>
    <row r="2" ht="25" customHeight="1">
      <c r="A2" s="2" t="inlineStr">
        <is>
          <t>Activités / Sous activités</t>
        </is>
      </c>
      <c r="B2" s="2" t="inlineStr">
        <is>
          <t>Catégorie des coûts</t>
        </is>
      </c>
      <c r="C2" s="2" t="inlineStr">
        <is>
          <t>Quantité</t>
        </is>
      </c>
      <c r="D2" s="2" t="inlineStr">
        <is>
          <t>Fréquence</t>
        </is>
      </c>
      <c r="E2" s="2" t="inlineStr">
        <is>
          <t>Coûts unitaires XOF</t>
        </is>
      </c>
      <c r="F2" s="2" t="inlineStr">
        <is>
          <t>Coût totaux en XOF</t>
        </is>
      </c>
      <c r="G2" s="2" t="inlineStr">
        <is>
          <t>Source de financement</t>
        </is>
      </c>
      <c r="H2" s="2" t="inlineStr">
        <is>
          <t>Commentaire / Justification</t>
        </is>
      </c>
    </row>
    <row r="3" ht="22" customHeight="1">
      <c r="A3" s="3" t="inlineStr">
        <is>
          <t>OS I : PROGRAMME ET GOUVERNANCE DE LA PCI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1.1.1. Rédiger le cahier de charges de l'EOPCI (fournitures &amp; dossiers)</t>
        </is>
      </c>
      <c r="B4" s="5" t="inlineStr">
        <is>
          <t>Fournitures de bureau</t>
        </is>
      </c>
      <c r="C4" s="6" t="n">
        <v>1</v>
      </c>
      <c r="D4" s="6" t="n">
        <v>1</v>
      </c>
      <c r="E4" s="7" t="n">
        <v>20000</v>
      </c>
      <c r="F4" s="8">
        <f>C4*D4*E4</f>
        <v/>
      </c>
      <c r="G4" s="9" t="inlineStr">
        <is>
          <t>Fonds propres</t>
        </is>
      </c>
      <c r="H4" s="5" t="inlineStr">
        <is>
          <t>Élaboration, impression et reprographie des cahiers de charges</t>
        </is>
      </c>
    </row>
    <row r="5">
      <c r="A5" s="5" t="inlineStr">
        <is>
          <t>1.1.1 bis. Séance technique de validation du cahier des charges EOPCI (8 pers)</t>
        </is>
      </c>
      <c r="B5" s="5" t="inlineStr">
        <is>
          <t>Pause café</t>
        </is>
      </c>
      <c r="C5" s="6" t="n">
        <v>8</v>
      </c>
      <c r="D5" s="6" t="n">
        <v>1</v>
      </c>
      <c r="E5" s="7" t="n">
        <v>2500</v>
      </c>
      <c r="F5" s="8">
        <f>C5*D5*E5</f>
        <v/>
      </c>
      <c r="G5" s="9" t="inlineStr">
        <is>
          <t>Fonds propres</t>
        </is>
      </c>
      <c r="H5" s="5" t="inlineStr">
        <is>
          <t>Séance technique de finalisation du cahier des charges</t>
        </is>
      </c>
    </row>
    <row r="6">
      <c r="A6" s="5" t="inlineStr">
        <is>
          <t>1.1.2. Rédiger la note de nomination du Point Focal PCI et fiches de tâches</t>
        </is>
      </c>
      <c r="B6" s="5" t="inlineStr">
        <is>
          <t>Néant (acte administratif)</t>
        </is>
      </c>
      <c r="C6" s="6" t="n">
        <v>0</v>
      </c>
      <c r="D6" s="6" t="n">
        <v>0</v>
      </c>
      <c r="E6" s="7" t="n">
        <v>0</v>
      </c>
      <c r="F6" s="8">
        <f>C6*D6*E6</f>
        <v/>
      </c>
      <c r="G6" s="10" t="inlineStr">
        <is>
          <t>Néant</t>
        </is>
      </c>
      <c r="H6" s="5" t="inlineStr">
        <is>
          <t>Note de service officielle de la DG et fiches notifiées</t>
        </is>
      </c>
    </row>
    <row r="7">
      <c r="A7" s="5" t="inlineStr">
        <is>
          <t>1.1.3. Renouveler et formaliser le CLIN</t>
        </is>
      </c>
      <c r="B7" s="5" t="inlineStr">
        <is>
          <t>Néant (acte administratif)</t>
        </is>
      </c>
      <c r="C7" s="6" t="n">
        <v>0</v>
      </c>
      <c r="D7" s="6" t="n">
        <v>0</v>
      </c>
      <c r="E7" s="7" t="n">
        <v>0</v>
      </c>
      <c r="F7" s="8">
        <f>C7*D7*E7</f>
        <v/>
      </c>
      <c r="G7" s="10" t="inlineStr">
        <is>
          <t>Néant</t>
        </is>
      </c>
      <c r="H7" s="5" t="inlineStr">
        <is>
          <t>Décision institutionnelle portant renouvellement du CLIN</t>
        </is>
      </c>
    </row>
    <row r="8">
      <c r="A8" s="5" t="inlineStr">
        <is>
          <t>1.1.4. Renouveler et restructurer l'équipe opérationnelle PCI (EOPCI)</t>
        </is>
      </c>
      <c r="B8" s="5" t="inlineStr">
        <is>
          <t>Néant (acte administratif)</t>
        </is>
      </c>
      <c r="C8" s="6" t="n">
        <v>0</v>
      </c>
      <c r="D8" s="6" t="n">
        <v>0</v>
      </c>
      <c r="E8" s="7" t="n">
        <v>0</v>
      </c>
      <c r="F8" s="8">
        <f>C8*D8*E8</f>
        <v/>
      </c>
      <c r="G8" s="10" t="inlineStr">
        <is>
          <t>Néant</t>
        </is>
      </c>
      <c r="H8" s="5" t="inlineStr">
        <is>
          <t>Note de service portant composition de l'EOPCI</t>
        </is>
      </c>
    </row>
    <row r="9">
      <c r="A9" s="5" t="inlineStr">
        <is>
          <t>1.1.5. Nommer formellement l'équipe des formateurs internes en PCI</t>
        </is>
      </c>
      <c r="B9" s="5" t="inlineStr">
        <is>
          <t>Néant (acte administratif)</t>
        </is>
      </c>
      <c r="C9" s="6" t="n">
        <v>0</v>
      </c>
      <c r="D9" s="6" t="n">
        <v>0</v>
      </c>
      <c r="E9" s="7" t="n">
        <v>0</v>
      </c>
      <c r="F9" s="8">
        <f>C9*D9*E9</f>
        <v/>
      </c>
      <c r="G9" s="10" t="inlineStr">
        <is>
          <t>Néant</t>
        </is>
      </c>
      <c r="H9" s="5" t="inlineStr">
        <is>
          <t>Note de service désignant 8 formateurs internes</t>
        </is>
      </c>
    </row>
    <row r="10">
      <c r="A10" s="5" t="inlineStr">
        <is>
          <t>1.1.6. Nommer les 24 points focaux IAS-PCI dans les services médico-techniques</t>
        </is>
      </c>
      <c r="B10" s="5" t="inlineStr">
        <is>
          <t>Pause-café &amp; kits de mission</t>
        </is>
      </c>
      <c r="C10" s="6" t="n">
        <v>24</v>
      </c>
      <c r="D10" s="6" t="n">
        <v>1</v>
      </c>
      <c r="E10" s="7" t="n">
        <v>2500</v>
      </c>
      <c r="F10" s="8">
        <f>C10*D10*E10</f>
        <v/>
      </c>
      <c r="G10" s="9" t="inlineStr">
        <is>
          <t>Fonds propres</t>
        </is>
      </c>
      <c r="H10" s="5" t="inlineStr">
        <is>
          <t>Séance d'installation officielle et kits de mission des 24 points focaux</t>
        </is>
      </c>
    </row>
    <row r="11">
      <c r="A11" s="5" t="inlineStr">
        <is>
          <t>1.1.7. Solliciter une expertise externe pour accompagner la PCI (appui technique)</t>
        </is>
      </c>
      <c r="B11" s="5" t="inlineStr">
        <is>
          <t>Honoraires &amp; appui technique</t>
        </is>
      </c>
      <c r="C11" s="6" t="n">
        <v>1</v>
      </c>
      <c r="D11" s="6" t="n">
        <v>1</v>
      </c>
      <c r="E11" s="7" t="n">
        <v>200000</v>
      </c>
      <c r="F11" s="8">
        <f>C11*D11*E11</f>
        <v/>
      </c>
      <c r="G11" s="9" t="inlineStr">
        <is>
          <t>Fonds propres / PTF</t>
        </is>
      </c>
      <c r="H11" s="5" t="inlineStr">
        <is>
          <t>Mission d'appui technique d'un expert externe en PCI (5 jours)</t>
        </is>
      </c>
    </row>
    <row r="12">
      <c r="A12" s="5" t="inlineStr">
        <is>
          <t>1.2.1. Réunions hebdomadaires de coordination de l'EOPCI (52 semaines)</t>
        </is>
      </c>
      <c r="B12" s="5" t="inlineStr">
        <is>
          <t>Fournitures de bureau &amp; secrétariat</t>
        </is>
      </c>
      <c r="C12" s="6" t="n">
        <v>1</v>
      </c>
      <c r="D12" s="6" t="n">
        <v>1</v>
      </c>
      <c r="E12" s="7" t="n">
        <v>30000</v>
      </c>
      <c r="F12" s="8">
        <f>C12*D12*E12</f>
        <v/>
      </c>
      <c r="G12" s="9" t="inlineStr">
        <is>
          <t>Fonds propres</t>
        </is>
      </c>
      <c r="H12" s="5" t="inlineStr">
        <is>
          <t>Registres d'actes, papeterie et archivage</t>
        </is>
      </c>
    </row>
    <row r="13">
      <c r="A13" s="5" t="inlineStr">
        <is>
          <t>1.2.2. Sessions trimestrielles du CLIN (collation 15 membres x 4 sessions)</t>
        </is>
      </c>
      <c r="B13" s="5" t="inlineStr">
        <is>
          <t>Pause café</t>
        </is>
      </c>
      <c r="C13" s="6" t="n">
        <v>60</v>
      </c>
      <c r="D13" s="6" t="n">
        <v>1</v>
      </c>
      <c r="E13" s="7" t="n">
        <v>2500</v>
      </c>
      <c r="F13" s="8">
        <f>C13*D13*E13</f>
        <v/>
      </c>
      <c r="G13" s="9" t="inlineStr">
        <is>
          <t>Fonds propres</t>
        </is>
      </c>
      <c r="H13" s="5" t="inlineStr">
        <is>
          <t>Collation pour 4 sessions trimestrielles du CLIN (15 pers)</t>
        </is>
      </c>
    </row>
    <row r="14">
      <c r="A14" s="5" t="inlineStr">
        <is>
          <t>1.2.2 bis. Sessions trimestrielles du CLIN (dossiers et fournitures)</t>
        </is>
      </c>
      <c r="B14" s="5" t="inlineStr">
        <is>
          <t>Fournitures de bureau</t>
        </is>
      </c>
      <c r="C14" s="6" t="n">
        <v>4</v>
      </c>
      <c r="D14" s="6" t="n">
        <v>1</v>
      </c>
      <c r="E14" s="7" t="n">
        <v>5000</v>
      </c>
      <c r="F14" s="8">
        <f>C14*D14*E14</f>
        <v/>
      </c>
      <c r="G14" s="9" t="inlineStr">
        <is>
          <t>Fonds propres</t>
        </is>
      </c>
      <c r="H14" s="5" t="inlineStr">
        <is>
          <t>Dossiers de travail reliés pour les 4 sessions du CLIN</t>
        </is>
      </c>
    </row>
    <row r="15">
      <c r="A15" s="5" t="inlineStr">
        <is>
          <t>1.2.3. Suivi rapproché de la mise en œuvre des décisions du CLIN</t>
        </is>
      </c>
      <c r="B15" s="5" t="inlineStr">
        <is>
          <t>Néant (suivi régulier)</t>
        </is>
      </c>
      <c r="C15" s="6" t="n">
        <v>0</v>
      </c>
      <c r="D15" s="6" t="n">
        <v>0</v>
      </c>
      <c r="E15" s="7" t="n">
        <v>0</v>
      </c>
      <c r="F15" s="8">
        <f>C15*D15*E15</f>
        <v/>
      </c>
      <c r="G15" s="10" t="inlineStr">
        <is>
          <t>Néant</t>
        </is>
      </c>
      <c r="H15" s="5" t="inlineStr">
        <is>
          <t>Tableau de bord de suivi renseigné par l'EOPCI</t>
        </is>
      </c>
    </row>
    <row r="16">
      <c r="A16" s="5" t="inlineStr">
        <is>
          <t>1.3.1. Élaborer le Plan de Travail Annuel (PTA) et le budget PCI 2026-2027</t>
        </is>
      </c>
      <c r="B16" s="5" t="inlineStr">
        <is>
          <t>Fournitures de bureau</t>
        </is>
      </c>
      <c r="C16" s="6" t="n">
        <v>1</v>
      </c>
      <c r="D16" s="6" t="n">
        <v>1</v>
      </c>
      <c r="E16" s="7" t="n">
        <v>20000</v>
      </c>
      <c r="F16" s="8">
        <f>C16*D16*E16</f>
        <v/>
      </c>
      <c r="G16" s="9" t="inlineStr">
        <is>
          <t>Fonds propres</t>
        </is>
      </c>
      <c r="H16" s="5" t="inlineStr">
        <is>
          <t>Consommables de conception et tirage préparatoire</t>
        </is>
      </c>
    </row>
    <row r="17">
      <c r="A17" s="5" t="inlineStr">
        <is>
          <t>1.3.2. Atelier de validation institutionnelle du PTA/Budget (dossiers)</t>
        </is>
      </c>
      <c r="B17" s="5" t="inlineStr">
        <is>
          <t>Fournitures de bureau</t>
        </is>
      </c>
      <c r="C17" s="6" t="n">
        <v>1</v>
      </c>
      <c r="D17" s="6" t="n">
        <v>1</v>
      </c>
      <c r="E17" s="7" t="n">
        <v>20000</v>
      </c>
      <c r="F17" s="8">
        <f>C17*D17*E17</f>
        <v/>
      </c>
      <c r="G17" s="9" t="inlineStr">
        <is>
          <t>Fonds propres</t>
        </is>
      </c>
      <c r="H17" s="5" t="inlineStr">
        <is>
          <t>Dossiers de travail des participants à l'atelier</t>
        </is>
      </c>
    </row>
    <row r="18">
      <c r="A18" s="5" t="inlineStr">
        <is>
          <t>1.3.2 bis. Atelier de validation institutionnelle du PTA/Budget (collation 20 pers)</t>
        </is>
      </c>
      <c r="B18" s="5" t="inlineStr">
        <is>
          <t>Pause café</t>
        </is>
      </c>
      <c r="C18" s="6" t="n">
        <v>20</v>
      </c>
      <c r="D18" s="6" t="n">
        <v>1</v>
      </c>
      <c r="E18" s="7" t="n">
        <v>2500</v>
      </c>
      <c r="F18" s="8">
        <f>C18*D18*E18</f>
        <v/>
      </c>
      <c r="G18" s="9" t="inlineStr">
        <is>
          <t>Fonds propres</t>
        </is>
      </c>
      <c r="H18" s="5" t="inlineStr">
        <is>
          <t>Collation pour les 20 participants à l'atelier de validation</t>
        </is>
      </c>
    </row>
    <row r="19">
      <c r="A19" s="5" t="inlineStr">
        <is>
          <t>1.3.3. Approuver officiellement le plan élaboré selon les normes OMS</t>
        </is>
      </c>
      <c r="B19" s="5" t="inlineStr">
        <is>
          <t>Néant (validation)</t>
        </is>
      </c>
      <c r="C19" s="6" t="n">
        <v>0</v>
      </c>
      <c r="D19" s="6" t="n">
        <v>0</v>
      </c>
      <c r="E19" s="7" t="n">
        <v>0</v>
      </c>
      <c r="F19" s="8">
        <f>C19*D19*E19</f>
        <v/>
      </c>
      <c r="G19" s="10" t="inlineStr">
        <is>
          <t>Néant</t>
        </is>
      </c>
      <c r="H19" s="5" t="inlineStr">
        <is>
          <t>Signature et visa hiérarchique de la Direction Générale</t>
        </is>
      </c>
    </row>
    <row r="20">
      <c r="A20" s="5" t="inlineStr">
        <is>
          <t>1.3.4. Disséminer et vulgariser le PTA PCI dans l'ensemble des services</t>
        </is>
      </c>
      <c r="B20" s="5" t="inlineStr">
        <is>
          <t>Fournitures de bureau &amp; reprographie</t>
        </is>
      </c>
      <c r="C20" s="6" t="n">
        <v>1</v>
      </c>
      <c r="D20" s="6" t="n">
        <v>1</v>
      </c>
      <c r="E20" s="7" t="n">
        <v>25000</v>
      </c>
      <c r="F20" s="8">
        <f>C20*D20*E20</f>
        <v/>
      </c>
      <c r="G20" s="9" t="inlineStr">
        <is>
          <t>Fonds propres</t>
        </is>
      </c>
      <c r="H20" s="5" t="inlineStr">
        <is>
          <t>Reprographie, reliure et diffusion du PTA validé</t>
        </is>
      </c>
    </row>
    <row r="21">
      <c r="A21" s="5" t="inlineStr">
        <is>
          <t>1.3.5. Intégrer le PTA et budget PCI au PITA 2027 du CHUMEL</t>
        </is>
      </c>
      <c r="B21" s="5" t="inlineStr">
        <is>
          <t>Néant (arbitrage)</t>
        </is>
      </c>
      <c r="C21" s="6" t="n">
        <v>0</v>
      </c>
      <c r="D21" s="6" t="n">
        <v>0</v>
      </c>
      <c r="E21" s="7" t="n">
        <v>0</v>
      </c>
      <c r="F21" s="8">
        <f>C21*D21*E21</f>
        <v/>
      </c>
      <c r="G21" s="10" t="inlineStr">
        <is>
          <t>Néant</t>
        </is>
      </c>
      <c r="H21" s="5" t="inlineStr">
        <is>
          <t>Inscription budgétaire par la DAF dans le budget général</t>
        </is>
      </c>
    </row>
    <row r="22" ht="20" customHeight="1">
      <c r="A22" s="11" t="inlineStr">
        <is>
          <t>Sous-total OS I</t>
        </is>
      </c>
      <c r="B22" s="12" t="n"/>
      <c r="C22" s="12" t="n"/>
      <c r="D22" s="12" t="n"/>
      <c r="E22" s="12" t="n"/>
      <c r="F22" s="13">
        <f>SUM(F4:F21)</f>
        <v/>
      </c>
      <c r="G22" s="12" t="n"/>
      <c r="H22" s="12" t="n"/>
    </row>
    <row r="23" ht="22" customHeight="1">
      <c r="A23" s="3" t="inlineStr">
        <is>
          <t>OS II : LIGNES DIRECTIVES ET PROCÉDURES OPÉRATIONNELLES (POS)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5" t="inlineStr">
        <is>
          <t>2.1.1. Relecture et adaptation contextuelle des directives OMS</t>
        </is>
      </c>
      <c r="B24" s="5" t="inlineStr">
        <is>
          <t>Fournitures de bureau</t>
        </is>
      </c>
      <c r="C24" s="6" t="n">
        <v>1</v>
      </c>
      <c r="D24" s="6" t="n">
        <v>1</v>
      </c>
      <c r="E24" s="7" t="n">
        <v>20000</v>
      </c>
      <c r="F24" s="8">
        <f>C24*D24*E24</f>
        <v/>
      </c>
      <c r="G24" s="9" t="inlineStr">
        <is>
          <t>Fonds propres</t>
        </is>
      </c>
      <c r="H24" s="5" t="inlineStr">
        <is>
          <t>Consommables pour le groupe de travail documentaire</t>
        </is>
      </c>
    </row>
    <row r="25">
      <c r="A25" s="5" t="inlineStr">
        <is>
          <t>2.1.2. Élaboration et harmonisation des POS prioritaires (comité 8 personnes)</t>
        </is>
      </c>
      <c r="B25" s="5" t="inlineStr">
        <is>
          <t>Ressources financières / Atelier</t>
        </is>
      </c>
      <c r="C25" s="6" t="n">
        <v>1</v>
      </c>
      <c r="D25" s="6" t="n">
        <v>1</v>
      </c>
      <c r="E25" s="7" t="n">
        <v>300000</v>
      </c>
      <c r="F25" s="8">
        <f>C25*D25*E25</f>
        <v/>
      </c>
      <c r="G25" s="9" t="inlineStr">
        <is>
          <t>Fonds propres</t>
        </is>
      </c>
      <c r="H25" s="5" t="inlineStr">
        <is>
          <t>Réf. PTA CLIN tableau 1 ligne 7 (300 000 FCFA pour 8 personnes)</t>
        </is>
      </c>
    </row>
    <row r="26">
      <c r="A26" s="5" t="inlineStr">
        <is>
          <t>2.1.3. Séance de validation technique des POS par le CLIN et la direction (dossiers)</t>
        </is>
      </c>
      <c r="B26" s="5" t="inlineStr">
        <is>
          <t>Fournitures de bureau</t>
        </is>
      </c>
      <c r="C26" s="6" t="n">
        <v>1</v>
      </c>
      <c r="D26" s="6" t="n">
        <v>1</v>
      </c>
      <c r="E26" s="7" t="n">
        <v>15000</v>
      </c>
      <c r="F26" s="8">
        <f>C26*D26*E26</f>
        <v/>
      </c>
      <c r="G26" s="9" t="inlineStr">
        <is>
          <t>Fonds propres</t>
        </is>
      </c>
      <c r="H26" s="5" t="inlineStr">
        <is>
          <t>Tirage des projets de POS soumis à validation</t>
        </is>
      </c>
    </row>
    <row r="27">
      <c r="A27" s="5" t="inlineStr">
        <is>
          <t>2.1.3 bis. Séance de validation technique des POS par le CLIN (collation 15 pers)</t>
        </is>
      </c>
      <c r="B27" s="5" t="inlineStr">
        <is>
          <t>Pause café</t>
        </is>
      </c>
      <c r="C27" s="6" t="n">
        <v>15</v>
      </c>
      <c r="D27" s="6" t="n">
        <v>1</v>
      </c>
      <c r="E27" s="7" t="n">
        <v>2500</v>
      </c>
      <c r="F27" s="8">
        <f>C27*D27*E27</f>
        <v/>
      </c>
      <c r="G27" s="9" t="inlineStr">
        <is>
          <t>Fonds propres</t>
        </is>
      </c>
      <c r="H27" s="5" t="inlineStr">
        <is>
          <t>Collation pour les 15 membres de la session CLIN</t>
        </is>
      </c>
    </row>
    <row r="28">
      <c r="A28" s="5" t="inlineStr">
        <is>
          <t>2.1.4. Mettre à disposition, reproduire et plastifier les 20 classeurs de POS</t>
        </is>
      </c>
      <c r="B28" s="5" t="inlineStr">
        <is>
          <t>Impression &amp; plastification</t>
        </is>
      </c>
      <c r="C28" s="6" t="n">
        <v>20</v>
      </c>
      <c r="D28" s="6" t="n">
        <v>1</v>
      </c>
      <c r="E28" s="7" t="n">
        <v>7500</v>
      </c>
      <c r="F28" s="8">
        <f>C28*D28*E28</f>
        <v/>
      </c>
      <c r="G28" s="9" t="inlineStr">
        <is>
          <t>Fonds propres</t>
        </is>
      </c>
      <c r="H28" s="5" t="inlineStr">
        <is>
          <t>20 classeurs complets de fiches de POS plastifiées</t>
        </is>
      </c>
    </row>
    <row r="29">
      <c r="A29" s="5" t="inlineStr">
        <is>
          <t>2.1.5. Séances de briefing du personnel sur l'appropriation des POS</t>
        </is>
      </c>
      <c r="B29" s="5" t="inlineStr">
        <is>
          <t>Fournitures didactiques</t>
        </is>
      </c>
      <c r="C29" s="6" t="n">
        <v>1</v>
      </c>
      <c r="D29" s="6" t="n">
        <v>1</v>
      </c>
      <c r="E29" s="7" t="n">
        <v>50000</v>
      </c>
      <c r="F29" s="8">
        <f>C29*D29*E29</f>
        <v/>
      </c>
      <c r="G29" s="9" t="inlineStr">
        <is>
          <t>Fonds propres</t>
        </is>
      </c>
      <c r="H29" s="5" t="inlineStr">
        <is>
          <t>Guides réflexes de poche et fiches d'émargement</t>
        </is>
      </c>
    </row>
    <row r="30" ht="20" customHeight="1">
      <c r="A30" s="11" t="inlineStr">
        <is>
          <t>Sous-total OS II</t>
        </is>
      </c>
      <c r="B30" s="12" t="n"/>
      <c r="C30" s="12" t="n"/>
      <c r="D30" s="12" t="n"/>
      <c r="E30" s="12" t="n"/>
      <c r="F30" s="13">
        <f>SUM(F24:F29)</f>
        <v/>
      </c>
      <c r="G30" s="12" t="n"/>
      <c r="H30" s="12" t="n"/>
    </row>
    <row r="31" ht="22" customHeight="1">
      <c r="A31" s="3" t="inlineStr">
        <is>
          <t>OS III : FORMATION, ÉDUCATION EN PCI ET CONGRÈS SCIENTIFIQUES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5" t="inlineStr">
        <is>
          <t>3.1.1. Élaborer le planning annuel de formation du personnel en PCI</t>
        </is>
      </c>
      <c r="B32" s="5" t="inlineStr">
        <is>
          <t>Fournitures de bureau</t>
        </is>
      </c>
      <c r="C32" s="6" t="n">
        <v>1</v>
      </c>
      <c r="D32" s="6" t="n">
        <v>1</v>
      </c>
      <c r="E32" s="7" t="n">
        <v>10000</v>
      </c>
      <c r="F32" s="8">
        <f>C32*D32*E32</f>
        <v/>
      </c>
      <c r="G32" s="9" t="inlineStr">
        <is>
          <t>Fonds propres</t>
        </is>
      </c>
      <c r="H32" s="5" t="inlineStr">
        <is>
          <t>Planification annuelle et fiches pédagogiques</t>
        </is>
      </c>
    </row>
    <row r="33">
      <c r="A33" s="5" t="inlineStr">
        <is>
          <t>3.1.2. Planning de formation continue de l'équipe PCI et formateurs internes</t>
        </is>
      </c>
      <c r="B33" s="5" t="inlineStr">
        <is>
          <t>Documentation technique</t>
        </is>
      </c>
      <c r="C33" s="6" t="n">
        <v>1</v>
      </c>
      <c r="D33" s="6" t="n">
        <v>1</v>
      </c>
      <c r="E33" s="7" t="n">
        <v>25000</v>
      </c>
      <c r="F33" s="8">
        <f>C33*D33*E33</f>
        <v/>
      </c>
      <c r="G33" s="9" t="inlineStr">
        <is>
          <t>Fonds propres</t>
        </is>
      </c>
      <c r="H33" s="5" t="inlineStr">
        <is>
          <t>Guides avancés et modules de perfectionnement</t>
        </is>
      </c>
    </row>
    <row r="34">
      <c r="A34" s="5" t="inlineStr">
        <is>
          <t>3.1.3. Former le personnel soignant aux Précautions Standard &amp; Complémentaires (500 pers)</t>
        </is>
      </c>
      <c r="B34" s="5" t="inlineStr">
        <is>
          <t>Ressources financières / Formation</t>
        </is>
      </c>
      <c r="C34" s="6" t="n">
        <v>1</v>
      </c>
      <c r="D34" s="6" t="n">
        <v>1</v>
      </c>
      <c r="E34" s="7" t="n">
        <v>500000</v>
      </c>
      <c r="F34" s="8">
        <f>C34*D34*E34</f>
        <v/>
      </c>
      <c r="G34" s="9" t="inlineStr">
        <is>
          <t>Fonds propres</t>
        </is>
      </c>
      <c r="H34" s="5" t="inlineStr">
        <is>
          <t>Réf. PTA CLIN tableau 1 ligne 3 (500 000 FCFA pour 500 agents)</t>
        </is>
      </c>
    </row>
    <row r="35">
      <c r="A35" s="5" t="inlineStr">
        <is>
          <t>3.1.4. Sessions sur les techniques de lavage des mains pour soignants et connexes</t>
        </is>
      </c>
      <c r="B35" s="5" t="inlineStr">
        <is>
          <t>Ateliers pratiques &amp; consommables</t>
        </is>
      </c>
      <c r="C35" s="6" t="n">
        <v>1</v>
      </c>
      <c r="D35" s="6" t="n">
        <v>1</v>
      </c>
      <c r="E35" s="7" t="n">
        <v>150000</v>
      </c>
      <c r="F35" s="8">
        <f>C35*D35*E35</f>
        <v/>
      </c>
      <c r="G35" s="9" t="inlineStr">
        <is>
          <t>Fonds propres</t>
        </is>
      </c>
      <c r="H35" s="5" t="inlineStr">
        <is>
          <t>Démonstrations pratiques, flacons de PHA, réactifs UV et ateliers</t>
        </is>
      </c>
    </row>
    <row r="36">
      <c r="A36" s="5" t="inlineStr">
        <is>
          <t>3.2.1. Former agents d'entretien et aides-soignants au bionettoyage et DBM (300 pers)</t>
        </is>
      </c>
      <c r="B36" s="5" t="inlineStr">
        <is>
          <t>Ressources financières / Formation</t>
        </is>
      </c>
      <c r="C36" s="6" t="n">
        <v>1</v>
      </c>
      <c r="D36" s="6" t="n">
        <v>1</v>
      </c>
      <c r="E36" s="7" t="n">
        <v>300000</v>
      </c>
      <c r="F36" s="8">
        <f>C36*D36*E36</f>
        <v/>
      </c>
      <c r="G36" s="9" t="inlineStr">
        <is>
          <t>Fonds propres</t>
        </is>
      </c>
      <c r="H36" s="5" t="inlineStr">
        <is>
          <t>Réf. PTA CLIN tableau 1 ligne 4 (300 000 FCFA pour 300 agents)</t>
        </is>
      </c>
    </row>
    <row r="37">
      <c r="A37" s="5" t="inlineStr">
        <is>
          <t>3.3.1. Séances d'éducation sur l'hygiène de base pour patients et accompagnants</t>
        </is>
      </c>
      <c r="B37" s="5" t="inlineStr">
        <is>
          <t>Supports de sensibilisation usagers</t>
        </is>
      </c>
      <c r="C37" s="6" t="n">
        <v>1</v>
      </c>
      <c r="D37" s="6" t="n">
        <v>1</v>
      </c>
      <c r="E37" s="7" t="n">
        <v>150000</v>
      </c>
      <c r="F37" s="8">
        <f>C37*D37*E37</f>
        <v/>
      </c>
      <c r="G37" s="9" t="inlineStr">
        <is>
          <t>Fonds propres</t>
        </is>
      </c>
      <c r="H37" s="5" t="inlineStr">
        <is>
          <t>Boîtes à images, affiches pédagogiques et dépliants usagers</t>
        </is>
      </c>
    </row>
    <row r="38">
      <c r="A38" s="5" t="inlineStr">
        <is>
          <t>3.4.1. Participation aux congrès scientifiques de PCI (SB2HPCI / HBEEPTI - 15 pers)</t>
        </is>
      </c>
      <c r="B38" s="5" t="inlineStr">
        <is>
          <t>Inscriptions &amp; frais de mission</t>
        </is>
      </c>
      <c r="C38" s="6" t="n">
        <v>15</v>
      </c>
      <c r="D38" s="6" t="n">
        <v>1</v>
      </c>
      <c r="E38" s="7" t="n">
        <v>40000</v>
      </c>
      <c r="F38" s="8">
        <f>C38*D38*E38</f>
        <v/>
      </c>
      <c r="G38" s="9" t="inlineStr">
        <is>
          <t>Fonds propres</t>
        </is>
      </c>
      <c r="H38" s="5" t="inlineStr">
        <is>
          <t>Réf. PTA CLIN tableau 1 ligne 6 (600 000 FCFA pour 15 participants)</t>
        </is>
      </c>
    </row>
    <row r="39">
      <c r="A39" s="5" t="inlineStr">
        <is>
          <t>3.4.2. Présentation de communications scientifiques et posters au congrès SB2HPCI</t>
        </is>
      </c>
      <c r="B39" s="5" t="inlineStr">
        <is>
          <t>Communications scientifiques &amp; posters</t>
        </is>
      </c>
      <c r="C39" s="6" t="n">
        <v>1</v>
      </c>
      <c r="D39" s="6" t="n">
        <v>1</v>
      </c>
      <c r="E39" s="7" t="n">
        <v>150000</v>
      </c>
      <c r="F39" s="8">
        <f>C39*D39*E39</f>
        <v/>
      </c>
      <c r="G39" s="9" t="inlineStr">
        <is>
          <t>Fonds propres</t>
        </is>
      </c>
      <c r="H39" s="5" t="inlineStr">
        <is>
          <t>Impression grand format de posters scientifiques et frais d'enregistrement</t>
        </is>
      </c>
    </row>
    <row r="40">
      <c r="A40" s="5" t="inlineStr">
        <is>
          <t>3.4.3. Organisation de la Journée internationale de l'hygiène des mains (5 mai)</t>
        </is>
      </c>
      <c r="B40" s="5" t="inlineStr">
        <is>
          <t>Événementiel &amp; communication</t>
        </is>
      </c>
      <c r="C40" s="6" t="n">
        <v>1</v>
      </c>
      <c r="D40" s="6" t="n">
        <v>1</v>
      </c>
      <c r="E40" s="7" t="n">
        <v>1000000</v>
      </c>
      <c r="F40" s="8">
        <f>C40*D40*E40</f>
        <v/>
      </c>
      <c r="G40" s="9" t="inlineStr">
        <is>
          <t>Fonds propres / PTF</t>
        </is>
      </c>
      <c r="H40" s="5" t="inlineStr">
        <is>
          <t>Réf. PTA CLIN tableau 1 ligne 2 (1 000 000 FCFA / 500 participants)</t>
        </is>
      </c>
    </row>
    <row r="41" ht="20" customHeight="1">
      <c r="A41" s="11" t="inlineStr">
        <is>
          <t>Sous-total OS III</t>
        </is>
      </c>
      <c r="B41" s="12" t="n"/>
      <c r="C41" s="12" t="n"/>
      <c r="D41" s="12" t="n"/>
      <c r="E41" s="12" t="n"/>
      <c r="F41" s="13">
        <f>SUM(F32:F40)</f>
        <v/>
      </c>
      <c r="G41" s="12" t="n"/>
      <c r="H41" s="12" t="n"/>
    </row>
    <row r="42" ht="22" customHeight="1">
      <c r="A42" s="3" t="inlineStr">
        <is>
          <t>OS V : SURVEILLANCE ÉPIDÉMIOLOGIQUE DES IAS ET MICROBIOLOGIE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5" t="inlineStr">
        <is>
          <t>5.1.1. Élaborer et valider le plan institutionnel de surveillance des IAS</t>
        </is>
      </c>
      <c r="B43" s="5" t="inlineStr">
        <is>
          <t>Fournitures de bureau &amp; reprographie</t>
        </is>
      </c>
      <c r="C43" s="6" t="n">
        <v>1</v>
      </c>
      <c r="D43" s="6" t="n">
        <v>1</v>
      </c>
      <c r="E43" s="7" t="n">
        <v>50000</v>
      </c>
      <c r="F43" s="8">
        <f>C43*D43*E43</f>
        <v/>
      </c>
      <c r="G43" s="9" t="inlineStr">
        <is>
          <t>Fonds propres</t>
        </is>
      </c>
      <c r="H43" s="5" t="inlineStr">
        <is>
          <t>Protocoles de surveillance et fiches de notification</t>
        </is>
      </c>
    </row>
    <row r="44">
      <c r="A44" s="5" t="inlineStr">
        <is>
          <t>5.1.2. Enquête épidémiologique approfondie sur les IAS dans les départements d'intérêt</t>
        </is>
      </c>
      <c r="B44" s="5" t="inlineStr">
        <is>
          <t>Fiches d'enquête &amp; logistique terrain</t>
        </is>
      </c>
      <c r="C44" s="6" t="n">
        <v>1</v>
      </c>
      <c r="D44" s="6" t="n">
        <v>1</v>
      </c>
      <c r="E44" s="7" t="n">
        <v>150000</v>
      </c>
      <c r="F44" s="8">
        <f>C44*D44*E44</f>
        <v/>
      </c>
      <c r="G44" s="9" t="inlineStr">
        <is>
          <t>Fonds propres</t>
        </is>
      </c>
      <c r="H44" s="5" t="inlineStr">
        <is>
          <t>Enquête de prévalence ciblée (réanimation, néonat, maternité, chirurgie)</t>
        </is>
      </c>
    </row>
    <row r="45">
      <c r="A45" s="5" t="inlineStr">
        <is>
          <t>5.1.3. Collecte hebdomadaire de données sur les IAS par les points focaux de service</t>
        </is>
      </c>
      <c r="B45" s="5" t="inlineStr">
        <is>
          <t>Fiches de recueil &amp; registres de suivi</t>
        </is>
      </c>
      <c r="C45" s="6" t="n">
        <v>1</v>
      </c>
      <c r="D45" s="6" t="n">
        <v>1</v>
      </c>
      <c r="E45" s="7" t="n">
        <v>60000</v>
      </c>
      <c r="F45" s="8">
        <f>C45*D45*E45</f>
        <v/>
      </c>
      <c r="G45" s="9" t="inlineStr">
        <is>
          <t>Fonds propres</t>
        </is>
      </c>
      <c r="H45" s="5" t="inlineStr">
        <is>
          <t>Cahiers de notification hebdomadaire dans tous les services de soins</t>
        </is>
      </c>
    </row>
    <row r="46">
      <c r="A46" s="5" t="inlineStr">
        <is>
          <t>5.1.4. Analyse hebdomadaire et présentation des résultats à la réunion EOPCI</t>
        </is>
      </c>
      <c r="B46" s="5" t="inlineStr">
        <is>
          <t>Néant (travail régulier)</t>
        </is>
      </c>
      <c r="C46" s="6" t="n">
        <v>0</v>
      </c>
      <c r="D46" s="6" t="n">
        <v>0</v>
      </c>
      <c r="E46" s="7" t="n">
        <v>0</v>
      </c>
      <c r="F46" s="8">
        <f>C46*D46*E46</f>
        <v/>
      </c>
      <c r="G46" s="10" t="inlineStr">
        <is>
          <t>Néant</t>
        </is>
      </c>
      <c r="H46" s="5" t="inlineStr">
        <is>
          <t>Tableau de bord hebdomadaire des alertes infectieuses élaboré par l'EOPCI</t>
        </is>
      </c>
    </row>
    <row r="47">
      <c r="A47" s="5" t="inlineStr">
        <is>
          <t>5.2.1. Intégration de la microbiologie environnementale au laboratoire</t>
        </is>
      </c>
      <c r="B47" s="5" t="inlineStr">
        <is>
          <t>Néant (organisation interne)</t>
        </is>
      </c>
      <c r="C47" s="6" t="n">
        <v>0</v>
      </c>
      <c r="D47" s="6" t="n">
        <v>0</v>
      </c>
      <c r="E47" s="7" t="n">
        <v>0</v>
      </c>
      <c r="F47" s="8">
        <f>C47*D47*E47</f>
        <v/>
      </c>
      <c r="G47" s="10" t="inlineStr">
        <is>
          <t>Néant</t>
        </is>
      </c>
      <c r="H47" s="5" t="inlineStr">
        <is>
          <t>Ouverture d'un volet hygiène hospitalière au laboratoire</t>
        </is>
      </c>
    </row>
    <row r="48">
      <c r="A48" s="5" t="inlineStr">
        <is>
          <t>5.2.2. Programme de recherche des germes nosocomiaux (33 processus / séries d'analyses)</t>
        </is>
      </c>
      <c r="B48" s="5" t="inlineStr">
        <is>
          <t>Intrants &amp; réactifs de bactériologie</t>
        </is>
      </c>
      <c r="C48" s="6" t="n">
        <v>1</v>
      </c>
      <c r="D48" s="6" t="n">
        <v>1</v>
      </c>
      <c r="E48" s="7" t="n">
        <v>3198118</v>
      </c>
      <c r="F48" s="8">
        <f>C48*D48*E48</f>
        <v/>
      </c>
      <c r="G48" s="9" t="inlineStr">
        <is>
          <t>Fonds propres</t>
        </is>
      </c>
      <c r="H48" s="5" t="inlineStr">
        <is>
          <t>Réf. exacte PTA CLIN tableau 1 ligne 5 (3 198 118 FCFA / 33 processus)</t>
        </is>
      </c>
    </row>
    <row r="49" ht="20" customHeight="1">
      <c r="A49" s="11" t="inlineStr">
        <is>
          <t>Sous-total OS V</t>
        </is>
      </c>
      <c r="B49" s="12" t="n"/>
      <c r="C49" s="12" t="n"/>
      <c r="D49" s="12" t="n"/>
      <c r="E49" s="12" t="n"/>
      <c r="F49" s="13">
        <f>SUM(F43:F48)</f>
        <v/>
      </c>
      <c r="G49" s="12" t="n"/>
      <c r="H49" s="12" t="n"/>
    </row>
    <row r="50" ht="22" customHeight="1">
      <c r="A50" s="3" t="inlineStr">
        <is>
          <t>OS VII : SUIVI, AUDITS DES PRATIQUES ET RESTITUTION DES RÉSULTATS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5" t="inlineStr">
        <is>
          <t>7.1.1. Définition et formalisation des indicateurs clés de suivi PCI</t>
        </is>
      </c>
      <c r="B51" s="5" t="inlineStr">
        <is>
          <t>Néant (ingénierie interne)</t>
        </is>
      </c>
      <c r="C51" s="6" t="n">
        <v>0</v>
      </c>
      <c r="D51" s="6" t="n">
        <v>0</v>
      </c>
      <c r="E51" s="7" t="n">
        <v>0</v>
      </c>
      <c r="F51" s="8">
        <f>C51*D51*E51</f>
        <v/>
      </c>
      <c r="G51" s="10" t="inlineStr">
        <is>
          <t>Néant</t>
        </is>
      </c>
      <c r="H51" s="5" t="inlineStr">
        <is>
          <t>Fiches descriptives des 6 indicateurs prioritaires</t>
        </is>
      </c>
    </row>
    <row r="52">
      <c r="A52" s="5" t="inlineStr">
        <is>
          <t>7.1.2. Élaboration et reprographie des grilles standardisées d'audit clinique</t>
        </is>
      </c>
      <c r="B52" s="5" t="inlineStr">
        <is>
          <t>Fournitures de bureau</t>
        </is>
      </c>
      <c r="C52" s="6" t="n">
        <v>1</v>
      </c>
      <c r="D52" s="6" t="n">
        <v>1</v>
      </c>
      <c r="E52" s="7" t="n">
        <v>20000</v>
      </c>
      <c r="F52" s="8">
        <f>C52*D52*E52</f>
        <v/>
      </c>
      <c r="G52" s="9" t="inlineStr">
        <is>
          <t>Fonds propres</t>
        </is>
      </c>
      <c r="H52" s="5" t="inlineStr">
        <is>
          <t>Grilles d'audit de terrain pour les soins invasifs</t>
        </is>
      </c>
    </row>
    <row r="53">
      <c r="A53" s="5" t="inlineStr">
        <is>
          <t>7.1.3. Matériel informatique : Ordinateur portable dédié à la PCI</t>
        </is>
      </c>
      <c r="B53" s="5" t="inlineStr">
        <is>
          <t>Matériel informatique</t>
        </is>
      </c>
      <c r="C53" s="6" t="n">
        <v>1</v>
      </c>
      <c r="D53" s="6" t="n">
        <v>1</v>
      </c>
      <c r="E53" s="7" t="n">
        <v>450000</v>
      </c>
      <c r="F53" s="8">
        <f>C53*D53*E53</f>
        <v/>
      </c>
      <c r="G53" s="9" t="inlineStr">
        <is>
          <t>Fonds propres</t>
        </is>
      </c>
      <c r="H53" s="5" t="inlineStr">
        <is>
          <t>Réf. PTA CLIN tableau 3 ligne 1 (PC portatif pour l'EOPCI)</t>
        </is>
      </c>
    </row>
    <row r="54">
      <c r="A54" s="5" t="inlineStr">
        <is>
          <t>7.1.3 bis. Matériel informatique : Imprimante multifonction pour l'EOPCI</t>
        </is>
      </c>
      <c r="B54" s="5" t="inlineStr">
        <is>
          <t>Matériel informatique</t>
        </is>
      </c>
      <c r="C54" s="6" t="n">
        <v>1</v>
      </c>
      <c r="D54" s="6" t="n">
        <v>1</v>
      </c>
      <c r="E54" s="7" t="n">
        <v>200000</v>
      </c>
      <c r="F54" s="8">
        <f>C54*D54*E54</f>
        <v/>
      </c>
      <c r="G54" s="9" t="inlineStr">
        <is>
          <t>Fonds propres</t>
        </is>
      </c>
      <c r="H54" s="5" t="inlineStr">
        <is>
          <t>Réf. PTA CLIN tableau 3 ligne 2 (imprimante de bureau EOPCI)</t>
        </is>
      </c>
    </row>
    <row r="55">
      <c r="A55" s="5" t="inlineStr">
        <is>
          <t>7.1.3 ter. Matériel informatique : Disque SSD externe 1 To</t>
        </is>
      </c>
      <c r="B55" s="5" t="inlineStr">
        <is>
          <t>Matériel informatique</t>
        </is>
      </c>
      <c r="C55" s="6" t="n">
        <v>1</v>
      </c>
      <c r="D55" s="6" t="n">
        <v>1</v>
      </c>
      <c r="E55" s="7" t="n">
        <v>50000</v>
      </c>
      <c r="F55" s="8">
        <f>C55*D55*E55</f>
        <v/>
      </c>
      <c r="G55" s="9" t="inlineStr">
        <is>
          <t>Fonds propres</t>
        </is>
      </c>
      <c r="H55" s="5" t="inlineStr">
        <is>
          <t>Réf. PTA CLIN tableau 3 ligne 8 (sauvegarde sécurisée données)</t>
        </is>
      </c>
    </row>
    <row r="56">
      <c r="A56" s="5" t="inlineStr">
        <is>
          <t>7.1.3 quater. Matériel informatique : Clé USB de stockage 32 Go</t>
        </is>
      </c>
      <c r="B56" s="5" t="inlineStr">
        <is>
          <t>Matériel informatique</t>
        </is>
      </c>
      <c r="C56" s="6" t="n">
        <v>1</v>
      </c>
      <c r="D56" s="6" t="n">
        <v>1</v>
      </c>
      <c r="E56" s="7" t="n">
        <v>10000</v>
      </c>
      <c r="F56" s="8">
        <f>C56*D56*E56</f>
        <v/>
      </c>
      <c r="G56" s="9" t="inlineStr">
        <is>
          <t>Fonds propres</t>
        </is>
      </c>
      <c r="H56" s="5" t="inlineStr">
        <is>
          <t>Réf. PTA CLIN tableau 3 ligne 7 (transfert données terrain)</t>
        </is>
      </c>
    </row>
    <row r="57">
      <c r="A57" s="5" t="inlineStr">
        <is>
          <t>7.1.3 quinquies. Armoire de rangement fermée pour archives CLIN/PCI</t>
        </is>
      </c>
      <c r="B57" s="5" t="inlineStr">
        <is>
          <t>Mobilier de bureau &amp; sécurité</t>
        </is>
      </c>
      <c r="C57" s="6" t="n">
        <v>1</v>
      </c>
      <c r="D57" s="6" t="n">
        <v>1</v>
      </c>
      <c r="E57" s="7" t="n">
        <v>150000</v>
      </c>
      <c r="F57" s="8">
        <f>C57*D57*E57</f>
        <v/>
      </c>
      <c r="G57" s="9" t="inlineStr">
        <is>
          <t>Fonds propres</t>
        </is>
      </c>
      <c r="H57" s="5" t="inlineStr">
        <is>
          <t>Réf. PTA CLIN tableau 3 ligne 5 (sécurisation archives)</t>
        </is>
      </c>
    </row>
    <row r="58">
      <c r="A58" s="5" t="inlineStr">
        <is>
          <t>7.1.3 sexies. Fournitures de bureau indispensables pour l'unité de suivi PCI</t>
        </is>
      </c>
      <c r="B58" s="5" t="inlineStr">
        <is>
          <t>Fournitures de bureau</t>
        </is>
      </c>
      <c r="C58" s="6" t="n">
        <v>1</v>
      </c>
      <c r="D58" s="6" t="n">
        <v>1</v>
      </c>
      <c r="E58" s="7" t="n">
        <v>50000</v>
      </c>
      <c r="F58" s="8">
        <f>C58*D58*E58</f>
        <v/>
      </c>
      <c r="G58" s="9" t="inlineStr">
        <is>
          <t>Fonds propres</t>
        </is>
      </c>
      <c r="H58" s="5" t="inlineStr">
        <is>
          <t>Papeterie, classeurs et consommables d'archivage EOPCI</t>
        </is>
      </c>
    </row>
    <row r="59">
      <c r="A59" s="5" t="inlineStr">
        <is>
          <t>7.2.1. Évaluation mensuelle de l'observance de l'hygiène des mains (500 obs/trim)</t>
        </is>
      </c>
      <c r="B59" s="5" t="inlineStr">
        <is>
          <t>Logistique d'audit mensuel</t>
        </is>
      </c>
      <c r="C59" s="6" t="n">
        <v>1</v>
      </c>
      <c r="D59" s="6" t="n">
        <v>1</v>
      </c>
      <c r="E59" s="7" t="n">
        <v>500000</v>
      </c>
      <c r="F59" s="8">
        <f>C59*D59*E59</f>
        <v/>
      </c>
      <c r="G59" s="9" t="inlineStr">
        <is>
          <t>Fonds propres</t>
        </is>
      </c>
      <c r="H59" s="5" t="inlineStr">
        <is>
          <t>Réf. PTA CLIN tableau 1 ligne 1 (500 000 FCFA / 500 observations)</t>
        </is>
      </c>
    </row>
    <row r="60">
      <c r="A60" s="5" t="inlineStr">
        <is>
          <t>7.2.2. Dotation en registres d'hygiène des mains (« Registre 5 mains » : 12 unités)</t>
        </is>
      </c>
      <c r="B60" s="5" t="inlineStr">
        <is>
          <t>Fournitures de bureau / Registres</t>
        </is>
      </c>
      <c r="C60" s="6" t="n">
        <v>12</v>
      </c>
      <c r="D60" s="6" t="n">
        <v>1</v>
      </c>
      <c r="E60" s="7" t="n">
        <v>10000</v>
      </c>
      <c r="F60" s="8">
        <f>C60*D60*E60</f>
        <v/>
      </c>
      <c r="G60" s="9" t="inlineStr">
        <is>
          <t>Fonds propres</t>
        </is>
      </c>
      <c r="H60" s="5" t="inlineStr">
        <is>
          <t>Réf. PTA CLIN tableau 2 ligne 1 (12 registres pour les services)</t>
        </is>
      </c>
    </row>
    <row r="61">
      <c r="A61" s="5" t="inlineStr">
        <is>
          <t>7.2.3. Audits internes trimestriels des pratiques PCI dans les pôles</t>
        </is>
      </c>
      <c r="B61" s="5" t="inlineStr">
        <is>
          <t>Fournitures &amp; logistique audit</t>
        </is>
      </c>
      <c r="C61" s="6" t="n">
        <v>4</v>
      </c>
      <c r="D61" s="6" t="n">
        <v>1</v>
      </c>
      <c r="E61" s="7" t="n">
        <v>20000</v>
      </c>
      <c r="F61" s="8">
        <f>C61*D61*E61</f>
        <v/>
      </c>
      <c r="G61" s="9" t="inlineStr">
        <is>
          <t>Fonds propres</t>
        </is>
      </c>
      <c r="H61" s="5" t="inlineStr">
        <is>
          <t>Consommables pour 4 audits trimestriels dans les pôles</t>
        </is>
      </c>
    </row>
    <row r="62">
      <c r="A62" s="5" t="inlineStr">
        <is>
          <t>7.2.4. Suivi mensuel de la qualité de la gestion des déchets biomédicaux</t>
        </is>
      </c>
      <c r="B62" s="5" t="inlineStr">
        <is>
          <t>Contrôle qualité &amp; fiches de suivi</t>
        </is>
      </c>
      <c r="C62" s="6" t="n">
        <v>1</v>
      </c>
      <c r="D62" s="6" t="n">
        <v>1</v>
      </c>
      <c r="E62" s="7" t="n">
        <v>30000</v>
      </c>
      <c r="F62" s="8">
        <f>C62*D62*E62</f>
        <v/>
      </c>
      <c r="G62" s="9" t="inlineStr">
        <is>
          <t>Fonds propres</t>
        </is>
      </c>
      <c r="H62" s="5" t="inlineStr">
        <is>
          <t>Grilles d'évaluation qualité du tri et pesage des DBM (12 mois)</t>
        </is>
      </c>
    </row>
    <row r="63">
      <c r="A63" s="5" t="inlineStr">
        <is>
          <t>7.3.1. Réunions trimestrielles de restitution des audits et feedback</t>
        </is>
      </c>
      <c r="B63" s="5" t="inlineStr">
        <is>
          <t>Pause-café &amp; reprographie</t>
        </is>
      </c>
      <c r="C63" s="6" t="n">
        <v>4</v>
      </c>
      <c r="D63" s="6" t="n">
        <v>1</v>
      </c>
      <c r="E63" s="7" t="n">
        <v>10000</v>
      </c>
      <c r="F63" s="8">
        <f>C63*D63*E63</f>
        <v/>
      </c>
      <c r="G63" s="9" t="inlineStr">
        <is>
          <t>Fonds propres</t>
        </is>
      </c>
      <c r="H63" s="5" t="inlineStr">
        <is>
          <t>4 réunions de restitution auprès des chefs de pôles et majors</t>
        </is>
      </c>
    </row>
    <row r="64" ht="20" customHeight="1">
      <c r="A64" s="11" t="inlineStr">
        <is>
          <t>Sous-total OS VII</t>
        </is>
      </c>
      <c r="B64" s="12" t="n"/>
      <c r="C64" s="12" t="n"/>
      <c r="D64" s="12" t="n"/>
      <c r="E64" s="12" t="n"/>
      <c r="F64" s="13">
        <f>SUM(F51:F63)</f>
        <v/>
      </c>
      <c r="G64" s="12" t="n"/>
      <c r="H64" s="12" t="n"/>
    </row>
    <row r="65" ht="22" customHeight="1">
      <c r="A65" s="3" t="inlineStr">
        <is>
          <t>OS VIII : CHARGE DE TRAVAIL, DÉCHETS BIOMÉDICAUX ET ENVIRONNEMENT BÂTI (WASH)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5" t="inlineStr">
        <is>
          <t>8.1.1. Évaluation de la charge de travail, des ratios et de l'espacement des lits</t>
        </is>
      </c>
      <c r="B66" s="5" t="inlineStr">
        <is>
          <t>Fournitures d'enquête &amp; étude</t>
        </is>
      </c>
      <c r="C66" s="6" t="n">
        <v>1</v>
      </c>
      <c r="D66" s="6" t="n">
        <v>1</v>
      </c>
      <c r="E66" s="7" t="n">
        <v>50000</v>
      </c>
      <c r="F66" s="8">
        <f>C66*D66*E66</f>
        <v/>
      </c>
      <c r="G66" s="9" t="inlineStr">
        <is>
          <t>Fonds propres</t>
        </is>
      </c>
      <c r="H66" s="5" t="inlineStr">
        <is>
          <t>Étude organisationnelle sur la promiscuité et les ratios soignants</t>
        </is>
      </c>
    </row>
    <row r="67">
      <c r="A67" s="5" t="inlineStr">
        <is>
          <t>8.1.2. Élaboration des fiches de description de tâches PCI par catégorie</t>
        </is>
      </c>
      <c r="B67" s="5" t="inlineStr">
        <is>
          <t>Néant (DRH)</t>
        </is>
      </c>
      <c r="C67" s="6" t="n">
        <v>0</v>
      </c>
      <c r="D67" s="6" t="n">
        <v>0</v>
      </c>
      <c r="E67" s="7" t="n">
        <v>0</v>
      </c>
      <c r="F67" s="8">
        <f>C67*D67*E67</f>
        <v/>
      </c>
      <c r="G67" s="10" t="inlineStr">
        <is>
          <t>Néant</t>
        </is>
      </c>
      <c r="H67" s="5" t="inlineStr">
        <is>
          <t>Intégration du volet PCI aux fiches de poste du personnel</t>
        </is>
      </c>
    </row>
    <row r="68">
      <c r="A68" s="5" t="inlineStr">
        <is>
          <t>8.2.1. Supervision mensuelle du tri, de la pesée et du stockage des DBM</t>
        </is>
      </c>
      <c r="B68" s="5" t="inlineStr">
        <is>
          <t>Néant (supervision interne)</t>
        </is>
      </c>
      <c r="C68" s="6" t="n">
        <v>0</v>
      </c>
      <c r="D68" s="6" t="n">
        <v>0</v>
      </c>
      <c r="E68" s="7" t="n">
        <v>0</v>
      </c>
      <c r="F68" s="8">
        <f>C68*D68*E68</f>
        <v/>
      </c>
      <c r="G68" s="10" t="inlineStr">
        <is>
          <t>Néant</t>
        </is>
      </c>
      <c r="H68" s="5" t="inlineStr">
        <is>
          <t>Contrôle mensuel régulier par l'EOPCI et le Service Salubrité</t>
        </is>
      </c>
    </row>
    <row r="69">
      <c r="A69" s="5" t="inlineStr">
        <is>
          <t>8.2.2. Sensibilisation continue du personnel sur la gestion et le tri des DBM</t>
        </is>
      </c>
      <c r="B69" s="5" t="inlineStr">
        <is>
          <t>Formation continue &amp; sensibilisation DBM</t>
        </is>
      </c>
      <c r="C69" s="6" t="n">
        <v>1</v>
      </c>
      <c r="D69" s="6" t="n">
        <v>1</v>
      </c>
      <c r="E69" s="7" t="n">
        <v>500000</v>
      </c>
      <c r="F69" s="8">
        <f>C69*D69*E69</f>
        <v/>
      </c>
      <c r="G69" s="9" t="inlineStr">
        <is>
          <t>Fonds propres</t>
        </is>
      </c>
      <c r="H69" s="5" t="inlineStr">
        <is>
          <t>Réf. PTA CLIN tableau 1 ligne 10 (500 000 FCFA pour tri DBM)</t>
        </is>
      </c>
    </row>
    <row r="70">
      <c r="A70" s="5" t="inlineStr">
        <is>
          <t>8.2.3. Poubelles réglementaires pour gestion des DBM (50 poubelles à pédale)</t>
        </is>
      </c>
      <c r="B70" s="5" t="inlineStr">
        <is>
          <t>Matériel de collecte DBM</t>
        </is>
      </c>
      <c r="C70" s="6" t="n">
        <v>50</v>
      </c>
      <c r="D70" s="6" t="n">
        <v>1</v>
      </c>
      <c r="E70" s="7" t="n">
        <v>20000</v>
      </c>
      <c r="F70" s="8">
        <f>C70*D70*E70</f>
        <v/>
      </c>
      <c r="G70" s="9" t="inlineStr">
        <is>
          <t>Fonds propres</t>
        </is>
      </c>
      <c r="H70" s="5" t="inlineStr">
        <is>
          <t>Réf. PTA CLIN tableau 3 ligne 4 (50 poubelles à pédale aux normes)</t>
        </is>
      </c>
    </row>
    <row r="71">
      <c r="A71" s="5" t="inlineStr">
        <is>
          <t>8.2.3 bis. Peson industriel pour le suivi du tonnage journalier des DBM</t>
        </is>
      </c>
      <c r="B71" s="5" t="inlineStr">
        <is>
          <t>Matériel technique de pesage</t>
        </is>
      </c>
      <c r="C71" s="6" t="n">
        <v>1</v>
      </c>
      <c r="D71" s="6" t="n">
        <v>1</v>
      </c>
      <c r="E71" s="7" t="n">
        <v>150000</v>
      </c>
      <c r="F71" s="8">
        <f>C71*D71*E71</f>
        <v/>
      </c>
      <c r="G71" s="9" t="inlineStr">
        <is>
          <t>Fonds propres</t>
        </is>
      </c>
      <c r="H71" s="5" t="inlineStr">
        <is>
          <t>Réf. PTA CLIN tableau 3 ligne 3 (balance pèse-déchets industrielle)</t>
        </is>
      </c>
    </row>
    <row r="72">
      <c r="A72" s="5" t="inlineStr">
        <is>
          <t>8.2.3 ter. Supervision disponibilité équipements lavage, bionettoyage, linge et stérilisation</t>
        </is>
      </c>
      <c r="B72" s="5" t="inlineStr">
        <is>
          <t>Grilles d'inventaire &amp; contrôle</t>
        </is>
      </c>
      <c r="C72" s="6" t="n">
        <v>1</v>
      </c>
      <c r="D72" s="6" t="n">
        <v>1</v>
      </c>
      <c r="E72" s="7" t="n">
        <v>30000</v>
      </c>
      <c r="F72" s="8">
        <f>C72*D72*E72</f>
        <v/>
      </c>
      <c r="G72" s="9" t="inlineStr">
        <is>
          <t>Fonds propres</t>
        </is>
      </c>
      <c r="H72" s="5" t="inlineStr">
        <is>
          <t>Outils de traçabilité et grilles de contrôle trimestriel de conformité</t>
        </is>
      </c>
    </row>
    <row r="73">
      <c r="A73" s="5" t="inlineStr">
        <is>
          <t>8.2.4. Étude technique et dossier d'appel d'offres pour l'incinérateur</t>
        </is>
      </c>
      <c r="B73" s="5" t="inlineStr">
        <is>
          <t>Études &amp; ingénierie technique</t>
        </is>
      </c>
      <c r="C73" s="6" t="n">
        <v>1</v>
      </c>
      <c r="D73" s="6" t="n">
        <v>1</v>
      </c>
      <c r="E73" s="7" t="n">
        <v>500000</v>
      </c>
      <c r="F73" s="8">
        <f>C73*D73*E73</f>
        <v/>
      </c>
      <c r="G73" s="9" t="inlineStr">
        <is>
          <t>Fonds propres</t>
        </is>
      </c>
      <c r="H73" s="5" t="inlineStr">
        <is>
          <t>Audit technique et rédaction du cahier des charges de l'incinérateur</t>
        </is>
      </c>
    </row>
    <row r="74">
      <c r="A74" s="5" t="inlineStr">
        <is>
          <t>8.2.4 bis. Travaux d'installation d'un incinérateur hospitalier moderne</t>
        </is>
      </c>
      <c r="B74" s="5" t="inlineStr">
        <is>
          <t>Investissement d'infrastructure hospitalière</t>
        </is>
      </c>
      <c r="C74" s="6" t="n">
        <v>1</v>
      </c>
      <c r="D74" s="6" t="n">
        <v>1</v>
      </c>
      <c r="E74" s="7" t="n">
        <v>25000000</v>
      </c>
      <c r="F74" s="8">
        <f>C74*D74*E74</f>
        <v/>
      </c>
      <c r="G74" s="9" t="inlineStr">
        <is>
          <t>Subvention État / PTF</t>
        </is>
      </c>
      <c r="H74" s="5" t="inlineStr">
        <is>
          <t>Investissement d'infrastructure à mobiliser auprès de l'État / PTF</t>
        </is>
      </c>
    </row>
    <row r="75">
      <c r="A75" s="5" t="inlineStr">
        <is>
          <t>8.3.1. Analyses physico-chimiques et bactériologiques annuelles de l'eau (10 pts)</t>
        </is>
      </c>
      <c r="B75" s="5" t="inlineStr">
        <is>
          <t>Analyses de laboratoire accrédité</t>
        </is>
      </c>
      <c r="C75" s="6" t="n">
        <v>10</v>
      </c>
      <c r="D75" s="6" t="n">
        <v>1</v>
      </c>
      <c r="E75" s="7" t="n">
        <v>30000</v>
      </c>
      <c r="F75" s="8">
        <f>C75*D75*E75</f>
        <v/>
      </c>
      <c r="G75" s="9" t="inlineStr">
        <is>
          <t>Fonds propres</t>
        </is>
      </c>
      <c r="H75" s="5" t="inlineStr">
        <is>
          <t>Contrôle annuel de potabilité des réservoirs, forages et robinets</t>
        </is>
      </c>
    </row>
    <row r="76">
      <c r="A76" s="5" t="inlineStr">
        <is>
          <t>8.3.2. Contrôle trimestriel de qualité des désinfectants (titrage chlore et SHA)</t>
        </is>
      </c>
      <c r="B76" s="5" t="inlineStr">
        <is>
          <t>Consommables de titrage</t>
        </is>
      </c>
      <c r="C76" s="6" t="n">
        <v>4</v>
      </c>
      <c r="D76" s="6" t="n">
        <v>1</v>
      </c>
      <c r="E76" s="7" t="n">
        <v>25000</v>
      </c>
      <c r="F76" s="8">
        <f>C76*D76*E76</f>
        <v/>
      </c>
      <c r="G76" s="9" t="inlineStr">
        <is>
          <t>Fonds propres</t>
        </is>
      </c>
      <c r="H76" s="5" t="inlineStr">
        <is>
          <t>Titrage au chloromètre et contrôle densité SHA (4 trimestres)</t>
        </is>
      </c>
    </row>
    <row r="77">
      <c r="A77" s="5" t="inlineStr">
        <is>
          <t>8.3.3. Dispositifs ergonomiques de lavage des mains raccordés (20 unités)</t>
        </is>
      </c>
      <c r="B77" s="5" t="inlineStr">
        <is>
          <t>Dispositifs d'hygiène &amp; plomberie</t>
        </is>
      </c>
      <c r="C77" s="6" t="n">
        <v>20</v>
      </c>
      <c r="D77" s="6" t="n">
        <v>1</v>
      </c>
      <c r="E77" s="7" t="n">
        <v>30000</v>
      </c>
      <c r="F77" s="8">
        <f>C77*D77*E77</f>
        <v/>
      </c>
      <c r="G77" s="9" t="inlineStr">
        <is>
          <t>Fonds propres</t>
        </is>
      </c>
      <c r="H77" s="5" t="inlineStr">
        <is>
          <t>Réf. PTA CLIN tableau 3 ligne 6 (20 dispositifs de lavage des mains)</t>
        </is>
      </c>
    </row>
    <row r="78">
      <c r="A78" s="5" t="inlineStr">
        <is>
          <t>8.3.4. Savon liquide pour les lavabos des services et blocs (250 Litres)</t>
        </is>
      </c>
      <c r="B78" s="5" t="inlineStr">
        <is>
          <t>Consommables d'hygiène</t>
        </is>
      </c>
      <c r="C78" s="6" t="n">
        <v>250</v>
      </c>
      <c r="D78" s="6" t="n">
        <v>1</v>
      </c>
      <c r="E78" s="7" t="n">
        <v>1000</v>
      </c>
      <c r="F78" s="8">
        <f>C78*D78*E78</f>
        <v/>
      </c>
      <c r="G78" s="9" t="inlineStr">
        <is>
          <t>Fonds propres</t>
        </is>
      </c>
      <c r="H78" s="5" t="inlineStr">
        <is>
          <t>Réf. PTA CLIN tableau 2 ligne 5 (250 Litres de savon liquide)</t>
        </is>
      </c>
    </row>
    <row r="79">
      <c r="A79" s="5" t="inlineStr">
        <is>
          <t>8.3.4 bis. Essuie-mains jetables à usage unique pour lavabos (250 rouleaux)</t>
        </is>
      </c>
      <c r="B79" s="5" t="inlineStr">
        <is>
          <t>Consommables d'hygiène</t>
        </is>
      </c>
      <c r="C79" s="6" t="n">
        <v>250</v>
      </c>
      <c r="D79" s="6" t="n">
        <v>1</v>
      </c>
      <c r="E79" s="7" t="n">
        <v>1000</v>
      </c>
      <c r="F79" s="8">
        <f>C79*D79*E79</f>
        <v/>
      </c>
      <c r="G79" s="9" t="inlineStr">
        <is>
          <t>Fonds propres</t>
        </is>
      </c>
      <c r="H79" s="5" t="inlineStr">
        <is>
          <t>Réf. PTA CLIN tableau 2 ligne 11 (250 rouleaux essuie-mains)</t>
        </is>
      </c>
    </row>
    <row r="80">
      <c r="A80" s="5" t="inlineStr">
        <is>
          <t>8.3.4 ter. Papier RAM pour impression rapports et grilles (12 cartons)</t>
        </is>
      </c>
      <c r="B80" s="5" t="inlineStr">
        <is>
          <t>Fournitures de bureau</t>
        </is>
      </c>
      <c r="C80" s="6" t="n">
        <v>12</v>
      </c>
      <c r="D80" s="6" t="n">
        <v>1</v>
      </c>
      <c r="E80" s="7" t="n">
        <v>15000</v>
      </c>
      <c r="F80" s="8">
        <f>C80*D80*E80</f>
        <v/>
      </c>
      <c r="G80" s="9" t="inlineStr">
        <is>
          <t>Fonds propres</t>
        </is>
      </c>
      <c r="H80" s="5" t="inlineStr">
        <is>
          <t>Réf. PTA CLIN tableau 2 ligne 2 (12 cartons papier RAM)</t>
        </is>
      </c>
    </row>
    <row r="81">
      <c r="A81" s="5" t="inlineStr">
        <is>
          <t>8.3.4 quater. Recharges d'encre imprimante A80 pour l'EOPCI (12 flacons/recharges)</t>
        </is>
      </c>
      <c r="B81" s="5" t="inlineStr">
        <is>
          <t>Fournitures de bureau</t>
        </is>
      </c>
      <c r="C81" s="6" t="n">
        <v>12</v>
      </c>
      <c r="D81" s="6" t="n">
        <v>1</v>
      </c>
      <c r="E81" s="7" t="n">
        <v>15000</v>
      </c>
      <c r="F81" s="8">
        <f>C81*D81*E81</f>
        <v/>
      </c>
      <c r="G81" s="9" t="inlineStr">
        <is>
          <t>Fonds propres</t>
        </is>
      </c>
      <c r="H81" s="5" t="inlineStr">
        <is>
          <t>Réf. PTA CLIN tableau 2 ligne 4 (12 flacons d'encre A80)</t>
        </is>
      </c>
    </row>
    <row r="82">
      <c r="A82" s="5" t="inlineStr">
        <is>
          <t>8.3.4 quinquies. Consommables administratifs ordinaires (cahiers, bics, chemises)</t>
        </is>
      </c>
      <c r="B82" s="5" t="inlineStr">
        <is>
          <t>Fournitures de bureau ordinaires</t>
        </is>
      </c>
      <c r="C82" s="6" t="n">
        <v>1</v>
      </c>
      <c r="D82" s="6" t="n">
        <v>1</v>
      </c>
      <c r="E82" s="7" t="n">
        <v>130000</v>
      </c>
      <c r="F82" s="8">
        <f>C82*D82*E82</f>
        <v/>
      </c>
      <c r="G82" s="9" t="inlineStr">
        <is>
          <t>Fonds propres</t>
        </is>
      </c>
      <c r="H82" s="5" t="inlineStr">
        <is>
          <t>Réf. PTA CLIN tab. 2 lign. 3,6,7,8,9,10 (chemises, bics, agrafes, cahiers)</t>
        </is>
      </c>
    </row>
    <row r="83" ht="20" customHeight="1">
      <c r="A83" s="11" t="inlineStr">
        <is>
          <t>Sous-total OS VIII</t>
        </is>
      </c>
      <c r="B83" s="12" t="n"/>
      <c r="C83" s="12" t="n"/>
      <c r="D83" s="12" t="n"/>
      <c r="E83" s="12" t="n"/>
      <c r="F83" s="13">
        <f>SUM(F66:F82)</f>
        <v/>
      </c>
      <c r="G83" s="12" t="n"/>
      <c r="H83" s="12" t="n"/>
    </row>
    <row r="84" ht="22" customHeight="1">
      <c r="A84" s="3" t="inlineStr">
        <is>
          <t>OS VI : COMMUNICATION ET OUTILS DE SENSIBILISATION PCI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5" t="inlineStr">
        <is>
          <t>6.1.1. Élaboration des outils de communication sur l'hygiène et la PCI (affiches, dépliants)</t>
        </is>
      </c>
      <c r="B85" s="5" t="inlineStr">
        <is>
          <t>Conception graphique &amp; maquettage</t>
        </is>
      </c>
      <c r="C85" s="6" t="n">
        <v>1</v>
      </c>
      <c r="D85" s="6" t="n">
        <v>1</v>
      </c>
      <c r="E85" s="7" t="n">
        <v>200000</v>
      </c>
      <c r="F85" s="8">
        <f>C85*D85*E85</f>
        <v/>
      </c>
      <c r="G85" s="9" t="inlineStr">
        <is>
          <t>Fonds propres</t>
        </is>
      </c>
      <c r="H85" s="5" t="inlineStr">
        <is>
          <t>Infographie et validation des maquettes d'affiches et dépliants</t>
        </is>
      </c>
    </row>
    <row r="86">
      <c r="A86" s="5" t="inlineStr">
        <is>
          <t>6.1.2. Multiplication des outils de communication (500 affiches plastifiées)</t>
        </is>
      </c>
      <c r="B86" s="5" t="inlineStr">
        <is>
          <t>Impression &amp; plastification</t>
        </is>
      </c>
      <c r="C86" s="6" t="n">
        <v>1</v>
      </c>
      <c r="D86" s="6" t="n">
        <v>1</v>
      </c>
      <c r="E86" s="7" t="n">
        <v>600000</v>
      </c>
      <c r="F86" s="8">
        <f>C86*D86*E86</f>
        <v/>
      </c>
      <c r="G86" s="9" t="inlineStr">
        <is>
          <t>Fonds propres</t>
        </is>
      </c>
      <c r="H86" s="5" t="inlineStr">
        <is>
          <t>Réf. PTA CLIN tableau 1 ligne 11 (600 000 FCFA pour supports)</t>
        </is>
      </c>
    </row>
    <row r="87">
      <c r="A87" s="5" t="inlineStr">
        <is>
          <t>6.1.3. Diffuser et installer les outils de communication aux points de soins</t>
        </is>
      </c>
      <c r="B87" s="5" t="inlineStr">
        <is>
          <t>Pose &amp; installation supports</t>
        </is>
      </c>
      <c r="C87" s="6" t="n">
        <v>1</v>
      </c>
      <c r="D87" s="6" t="n">
        <v>1</v>
      </c>
      <c r="E87" s="7" t="n">
        <v>100000</v>
      </c>
      <c r="F87" s="8">
        <f>C87*D87*E87</f>
        <v/>
      </c>
      <c r="G87" s="9" t="inlineStr">
        <is>
          <t>Fonds propres</t>
        </is>
      </c>
      <c r="H87" s="5" t="inlineStr">
        <is>
          <t>Installation des cadres et affichage pérenne dans les unités</t>
        </is>
      </c>
    </row>
    <row r="88">
      <c r="A88" s="5" t="inlineStr">
        <is>
          <t>6.1.4. Campagnes institutionnelles de communication et sensibilisation de proximité</t>
        </is>
      </c>
      <c r="B88" s="5" t="inlineStr">
        <is>
          <t>Campagnes de communication</t>
        </is>
      </c>
      <c r="C88" s="6" t="n">
        <v>1</v>
      </c>
      <c r="D88" s="6" t="n">
        <v>1</v>
      </c>
      <c r="E88" s="7" t="n">
        <v>500000</v>
      </c>
      <c r="F88" s="8">
        <f>C88*D88*E88</f>
        <v/>
      </c>
      <c r="G88" s="9" t="inlineStr">
        <is>
          <t>Fonds propres</t>
        </is>
      </c>
      <c r="H88" s="5" t="inlineStr">
        <is>
          <t>Réf. PTA CLIN tableau 1 ligne 9 (500 000 FCFA pour sensibilisation)</t>
        </is>
      </c>
    </row>
    <row r="89" ht="20" customHeight="1">
      <c r="A89" s="11" t="inlineStr">
        <is>
          <t>Sous-total OS VI</t>
        </is>
      </c>
      <c r="B89" s="12" t="n"/>
      <c r="C89" s="12" t="n"/>
      <c r="D89" s="12" t="n"/>
      <c r="E89" s="12" t="n"/>
      <c r="F89" s="13">
        <f>SUM(F85:F88)</f>
        <v/>
      </c>
      <c r="G89" s="12" t="n"/>
      <c r="H89" s="12" t="n"/>
    </row>
    <row r="91" ht="24" customHeight="1">
      <c r="A91" s="14" t="inlineStr">
        <is>
          <t>TOTAL GÉNÉRAL CONSOLIDÉ DU BUDGET CLIN PCI 2026-2027 (XOF)</t>
        </is>
      </c>
      <c r="B91" s="15" t="n"/>
      <c r="C91" s="15" t="n"/>
      <c r="D91" s="15" t="n"/>
      <c r="E91" s="15" t="n"/>
      <c r="F91" s="16">
        <f>F22+F30+F41+F49+F64+F83+F89</f>
        <v/>
      </c>
      <c r="G91" s="17" t="inlineStr">
        <is>
          <t>Fonds Propres &amp; PTF/État</t>
        </is>
      </c>
      <c r="H91" s="18" t="inlineStr">
        <is>
          <t>Budget réajusté consolidé CHU-MEL</t>
        </is>
      </c>
    </row>
  </sheetData>
  <mergeCells count="9">
    <mergeCell ref="A50:H50"/>
    <mergeCell ref="A91:E91"/>
    <mergeCell ref="A3:H3"/>
    <mergeCell ref="A65:H65"/>
    <mergeCell ref="A42:H42"/>
    <mergeCell ref="A1:H1"/>
    <mergeCell ref="A23:H23"/>
    <mergeCell ref="A84:H84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6" customWidth="1" min="3" max="3"/>
    <col width="26" customWidth="1" min="4" max="4"/>
    <col width="26" customWidth="1" min="5" max="5"/>
    <col width="32" customWidth="1" min="6" max="6"/>
  </cols>
  <sheetData>
    <row r="1" ht="28" customHeight="1">
      <c r="A1" s="1" t="inlineStr">
        <is>
          <t>SYNTHÈSE DU PLAN BUDGÉTISÉ CLIN PCI CHUMEL 2026-2027 (RÉAJUSTÉ)</t>
        </is>
      </c>
    </row>
    <row r="3">
      <c r="A3" s="19" t="inlineStr">
        <is>
          <t>1. Répartition prévisionnelle par Objectif Stratégique (OS)</t>
        </is>
      </c>
    </row>
    <row r="4" ht="22" customHeight="1">
      <c r="A4" s="2" t="inlineStr">
        <is>
          <t>N°</t>
        </is>
      </c>
      <c r="B4" s="2" t="inlineStr">
        <is>
          <t>Objectif Stratégique</t>
        </is>
      </c>
      <c r="C4" s="2" t="inlineStr">
        <is>
          <t>Montant Fonctionnement (XOF)</t>
        </is>
      </c>
      <c r="D4" s="2" t="inlineStr">
        <is>
          <t>Montant Investissement (XOF)</t>
        </is>
      </c>
      <c r="E4" s="2" t="inlineStr">
        <is>
          <t>Total Prévu (XOF)</t>
        </is>
      </c>
      <c r="F4" s="2" t="inlineStr">
        <is>
          <t>% du Budget</t>
        </is>
      </c>
    </row>
    <row r="5">
      <c r="A5" s="20" t="inlineStr">
        <is>
          <t>OS I</t>
        </is>
      </c>
      <c r="B5" s="21" t="inlineStr">
        <is>
          <t>Programme et gouvernance de la PCI (CLIN, EOPCI, Points focaux, PTA)</t>
        </is>
      </c>
      <c r="C5" s="22" t="n">
        <v>615000</v>
      </c>
      <c r="D5" s="22" t="n">
        <v>0</v>
      </c>
      <c r="E5" s="22" t="n">
        <v>615000</v>
      </c>
      <c r="F5" s="23" t="inlineStr">
        <is>
          <t>1.5%</t>
        </is>
      </c>
    </row>
    <row r="6">
      <c r="A6" s="20" t="inlineStr">
        <is>
          <t>OS II</t>
        </is>
      </c>
      <c r="B6" s="21" t="inlineStr">
        <is>
          <t>Lignes directives et Procédures Opérationnelles Standardisées (POS)</t>
        </is>
      </c>
      <c r="C6" s="22" t="n">
        <v>572500</v>
      </c>
      <c r="D6" s="22" t="n">
        <v>0</v>
      </c>
      <c r="E6" s="22" t="n">
        <v>572500</v>
      </c>
      <c r="F6" s="23" t="inlineStr">
        <is>
          <t>1.4%</t>
        </is>
      </c>
    </row>
    <row r="7">
      <c r="A7" s="20" t="inlineStr">
        <is>
          <t>OS III</t>
        </is>
      </c>
      <c r="B7" s="21" t="inlineStr">
        <is>
          <t>Formation, éducation en PCI et congrès scientifiques (5 mai inclus)</t>
        </is>
      </c>
      <c r="C7" s="22" t="n">
        <v>2885000</v>
      </c>
      <c r="D7" s="22" t="n">
        <v>0</v>
      </c>
      <c r="E7" s="22" t="n">
        <v>2885000</v>
      </c>
      <c r="F7" s="23" t="inlineStr">
        <is>
          <t>7.2%</t>
        </is>
      </c>
    </row>
    <row r="8">
      <c r="A8" s="20" t="inlineStr">
        <is>
          <t>OS V</t>
        </is>
      </c>
      <c r="B8" s="21" t="inlineStr">
        <is>
          <t>Surveillance épidémiologique des IAS et microbiologie hospitalière</t>
        </is>
      </c>
      <c r="C8" s="22" t="n">
        <v>3458118</v>
      </c>
      <c r="D8" s="22" t="n">
        <v>0</v>
      </c>
      <c r="E8" s="22" t="n">
        <v>3458118</v>
      </c>
      <c r="F8" s="23" t="inlineStr">
        <is>
          <t>8.7%</t>
        </is>
      </c>
    </row>
    <row r="9">
      <c r="A9" s="20" t="inlineStr">
        <is>
          <t>OS VII</t>
        </is>
      </c>
      <c r="B9" s="21" t="inlineStr">
        <is>
          <t>Suivi, audits des pratiques, informatique et restitution des résultats</t>
        </is>
      </c>
      <c r="C9" s="22" t="n">
        <v>1700000</v>
      </c>
      <c r="D9" s="22" t="n">
        <v>0</v>
      </c>
      <c r="E9" s="22" t="n">
        <v>1700000</v>
      </c>
      <c r="F9" s="23" t="inlineStr">
        <is>
          <t>4.3%</t>
        </is>
      </c>
    </row>
    <row r="10">
      <c r="A10" s="20" t="inlineStr">
        <is>
          <t>OS VIII</t>
        </is>
      </c>
      <c r="B10" s="21" t="inlineStr">
        <is>
          <t>Charge de travail, déchets biomédicaux, eau et environnement (WASH)</t>
        </is>
      </c>
      <c r="C10" s="22" t="n">
        <v>4220000</v>
      </c>
      <c r="D10" s="22" t="n">
        <v>25000000</v>
      </c>
      <c r="E10" s="22" t="n">
        <v>29220000</v>
      </c>
      <c r="F10" s="23" t="inlineStr">
        <is>
          <t>73.3%</t>
        </is>
      </c>
    </row>
    <row r="11">
      <c r="A11" s="20" t="inlineStr">
        <is>
          <t>OS VI</t>
        </is>
      </c>
      <c r="B11" s="21" t="inlineStr">
        <is>
          <t>Communication et outils de sensibilisation PCI (affiches, dépliants)</t>
        </is>
      </c>
      <c r="C11" s="22" t="n">
        <v>1400000</v>
      </c>
      <c r="D11" s="22" t="n">
        <v>0</v>
      </c>
      <c r="E11" s="22" t="n">
        <v>1400000</v>
      </c>
      <c r="F11" s="23" t="inlineStr">
        <is>
          <t>3.5%</t>
        </is>
      </c>
    </row>
    <row r="12" ht="22" customHeight="1">
      <c r="A12" s="15" t="inlineStr"/>
      <c r="B12" s="24" t="inlineStr">
        <is>
          <t>TOTAL GÉNÉRAL CONSOLIDÉ</t>
        </is>
      </c>
      <c r="C12" s="25">
        <f>SUM(C5:C11)</f>
        <v/>
      </c>
      <c r="D12" s="25">
        <f>SUM(D5:D11)</f>
        <v/>
      </c>
      <c r="E12" s="25">
        <f>SUM(E5:E11)</f>
        <v/>
      </c>
      <c r="F12" s="26" t="inlineStr">
        <is>
          <t>100.0%</t>
        </is>
      </c>
    </row>
    <row r="15">
      <c r="A15" s="19" t="inlineStr">
        <is>
          <t>2. Répartition par grande Catégorie de Dépenses</t>
        </is>
      </c>
    </row>
    <row r="16" ht="22" customHeight="1">
      <c r="A16" s="2" t="inlineStr">
        <is>
          <t>N°</t>
        </is>
      </c>
      <c r="B16" s="2" t="inlineStr">
        <is>
          <t>Catégorie de Dépenses</t>
        </is>
      </c>
      <c r="C16" s="2" t="inlineStr">
        <is>
          <t>Montant (XOF)</t>
        </is>
      </c>
      <c r="D16" s="2" t="inlineStr">
        <is>
          <t>% Partiel</t>
        </is>
      </c>
      <c r="E16" s="2" t="inlineStr">
        <is>
          <t>Source Principale</t>
        </is>
      </c>
      <c r="F16" s="2" t="inlineStr">
        <is>
          <t>Observations</t>
        </is>
      </c>
    </row>
    <row r="17">
      <c r="A17" s="20" t="inlineStr">
        <is>
          <t>1</t>
        </is>
      </c>
      <c r="B17" s="21" t="inlineStr">
        <is>
          <t>Formations continues, ateliers pratiques et perfectionnement</t>
        </is>
      </c>
      <c r="C17" s="22" t="n">
        <v>2025000</v>
      </c>
      <c r="D17" s="23" t="inlineStr">
        <is>
          <t>5.1%</t>
        </is>
      </c>
      <c r="E17" s="20" t="inlineStr">
        <is>
          <t>Fonds Propres</t>
        </is>
      </c>
      <c r="F17" s="21" t="inlineStr">
        <is>
          <t>500 soignants, 300 agents, ateliers lavage mains &amp; POS</t>
        </is>
      </c>
    </row>
    <row r="18">
      <c r="A18" s="20" t="inlineStr">
        <is>
          <t>2</t>
        </is>
      </c>
      <c r="B18" s="21" t="inlineStr">
        <is>
          <t>Microbiologie hospitalière, analyses eau &amp; contrôle désinfectants</t>
        </is>
      </c>
      <c r="C18" s="22" t="n">
        <v>3598118</v>
      </c>
      <c r="D18" s="23" t="inlineStr">
        <is>
          <t>9.0%</t>
        </is>
      </c>
      <c r="E18" s="20" t="inlineStr">
        <is>
          <t>Fonds Propres</t>
        </is>
      </c>
      <c r="F18" s="21" t="inlineStr">
        <is>
          <t>33 séries germes, analyses eau, titrage javel</t>
        </is>
      </c>
    </row>
    <row r="19">
      <c r="A19" s="20" t="inlineStr">
        <is>
          <t>3</t>
        </is>
      </c>
      <c r="B19" s="21" t="inlineStr">
        <is>
          <t>Matériels informatiques, bureautique &amp; équipements de pesage/archives</t>
        </is>
      </c>
      <c r="C19" s="22" t="n">
        <v>1010000</v>
      </c>
      <c r="D19" s="23" t="inlineStr">
        <is>
          <t>2.5%</t>
        </is>
      </c>
      <c r="E19" s="20" t="inlineStr">
        <is>
          <t>Fonds Propres</t>
        </is>
      </c>
      <c r="F19" s="21" t="inlineStr">
        <is>
          <t>PC, imprimante, SSD, clé, balance DBM, armoire</t>
        </is>
      </c>
    </row>
    <row r="20">
      <c r="A20" s="20" t="inlineStr">
        <is>
          <t>4</t>
        </is>
      </c>
      <c r="B20" s="21" t="inlineStr">
        <is>
          <t>Équipements médico-techniques d'hygiène et collecte DBM (poubelles, lavabos)</t>
        </is>
      </c>
      <c r="C20" s="22" t="n">
        <v>1600000</v>
      </c>
      <c r="D20" s="23" t="inlineStr">
        <is>
          <t>4.0%</t>
        </is>
      </c>
      <c r="E20" s="20" t="inlineStr">
        <is>
          <t>Fonds Propres</t>
        </is>
      </c>
      <c r="F20" s="21" t="inlineStr">
        <is>
          <t>50 poubelles à pédale, 20 dispositifs lavage</t>
        </is>
      </c>
    </row>
    <row r="21">
      <c r="A21" s="20" t="inlineStr">
        <is>
          <t>5</t>
        </is>
      </c>
      <c r="B21" s="21" t="inlineStr">
        <is>
          <t>Consommables d'hygiène hospitalière (savon liquide 250L, essuie-mains 250r)</t>
        </is>
      </c>
      <c r="C21" s="22" t="n">
        <v>500000</v>
      </c>
      <c r="D21" s="23" t="inlineStr">
        <is>
          <t>1.3%</t>
        </is>
      </c>
      <c r="E21" s="20" t="inlineStr">
        <is>
          <t>Fonds Propres</t>
        </is>
      </c>
      <c r="F21" s="21" t="inlineStr">
        <is>
          <t>250 L savon liquide, 250 rouleaux essuie-mains</t>
        </is>
      </c>
    </row>
    <row r="22">
      <c r="A22" s="20" t="inlineStr">
        <is>
          <t>6</t>
        </is>
      </c>
      <c r="B22" s="21" t="inlineStr">
        <is>
          <t>Fournitures de bureau, papier RAM, registres, encres et documentation</t>
        </is>
      </c>
      <c r="C22" s="22" t="n">
        <v>880000</v>
      </c>
      <c r="D22" s="23" t="inlineStr">
        <is>
          <t>2.2%</t>
        </is>
      </c>
      <c r="E22" s="20" t="inlineStr">
        <is>
          <t>Fonds Propres</t>
        </is>
      </c>
      <c r="F22" s="21" t="inlineStr">
        <is>
          <t>12 registres 5 mains, 12 rames, encres, fournitures EOPCI</t>
        </is>
      </c>
    </row>
    <row r="23">
      <c r="A23" s="20" t="inlineStr">
        <is>
          <t>7</t>
        </is>
      </c>
      <c r="B23" s="21" t="inlineStr">
        <is>
          <t>Communication, outils visuels (affiches, dépliants), diffusion &amp; Journée 5 mai</t>
        </is>
      </c>
      <c r="C23" s="22" t="n">
        <v>2550000</v>
      </c>
      <c r="D23" s="23" t="inlineStr">
        <is>
          <t>6.4%</t>
        </is>
      </c>
      <c r="E23" s="20" t="inlineStr">
        <is>
          <t>Fonds Propres / PTF</t>
        </is>
      </c>
      <c r="F23" s="21" t="inlineStr">
        <is>
          <t>Affiches plastifiées, dépliants, pose, 5 mai</t>
        </is>
      </c>
    </row>
    <row r="24">
      <c r="A24" s="20" t="inlineStr">
        <is>
          <t>8</t>
        </is>
      </c>
      <c r="B24" s="21" t="inlineStr">
        <is>
          <t>Audits cliniques, enquêtes de prévalence, observance &amp; suivi qualité DBM</t>
        </is>
      </c>
      <c r="C24" s="22" t="n">
        <v>820000</v>
      </c>
      <c r="D24" s="23" t="inlineStr">
        <is>
          <t>2.1%</t>
        </is>
      </c>
      <c r="E24" s="20" t="inlineStr">
        <is>
          <t>Fonds Propres</t>
        </is>
      </c>
      <c r="F24" s="21" t="inlineStr">
        <is>
          <t>Logistique audit mensuel, EPJ, fiches DBM</t>
        </is>
      </c>
    </row>
    <row r="25">
      <c r="A25" s="20" t="inlineStr">
        <is>
          <t>9</t>
        </is>
      </c>
      <c r="B25" s="21" t="inlineStr">
        <is>
          <t>Gouvernance, sessions du CLIN, réunions d'équipe &amp; réseau points focaux</t>
        </is>
      </c>
      <c r="C25" s="22" t="n">
        <v>417500</v>
      </c>
      <c r="D25" s="23" t="inlineStr">
        <is>
          <t>1.0%</t>
        </is>
      </c>
      <c r="E25" s="20" t="inlineStr">
        <is>
          <t>Fonds Propres</t>
        </is>
      </c>
      <c r="F25" s="21" t="inlineStr">
        <is>
          <t>Collations et dossiers CLIN, EOPCI, points focaux</t>
        </is>
      </c>
    </row>
    <row r="26">
      <c r="A26" s="20" t="inlineStr">
        <is>
          <t>10</t>
        </is>
      </c>
      <c r="B26" s="21" t="inlineStr">
        <is>
          <t>Participation aux congrès scientifiques et communications (SB2HPCI)</t>
        </is>
      </c>
      <c r="C26" s="22" t="n">
        <v>750000</v>
      </c>
      <c r="D26" s="23" t="inlineStr">
        <is>
          <t>1.9%</t>
        </is>
      </c>
      <c r="E26" s="20" t="inlineStr">
        <is>
          <t>Fonds Propres</t>
        </is>
      </c>
      <c r="F26" s="21" t="inlineStr">
        <is>
          <t>15 participants + posters scientifiques</t>
        </is>
      </c>
    </row>
    <row r="27">
      <c r="A27" s="20" t="inlineStr">
        <is>
          <t>11</t>
        </is>
      </c>
      <c r="B27" s="21" t="inlineStr">
        <is>
          <t>Expertise externe et accompagnement technique PCI</t>
        </is>
      </c>
      <c r="C27" s="22" t="n">
        <v>200000</v>
      </c>
      <c r="D27" s="23" t="inlineStr">
        <is>
          <t>0.5%</t>
        </is>
      </c>
      <c r="E27" s="20" t="inlineStr">
        <is>
          <t>Fonds Propres / PTF</t>
        </is>
      </c>
      <c r="F27" s="21" t="inlineStr">
        <is>
          <t>Appui technique spécialisé externe</t>
        </is>
      </c>
    </row>
    <row r="28">
      <c r="A28" s="20" t="inlineStr">
        <is>
          <t>12</t>
        </is>
      </c>
      <c r="B28" s="21" t="inlineStr">
        <is>
          <t>Études préalables et audit technique dimensionnement incinérateur</t>
        </is>
      </c>
      <c r="C28" s="22" t="n">
        <v>500000</v>
      </c>
      <c r="D28" s="23" t="inlineStr">
        <is>
          <t>1.3%</t>
        </is>
      </c>
      <c r="E28" s="20" t="inlineStr">
        <is>
          <t>Fonds Propres</t>
        </is>
      </c>
      <c r="F28" s="21" t="inlineStr">
        <is>
          <t>Cahier des charges et faisabilité technique</t>
        </is>
      </c>
    </row>
    <row r="29">
      <c r="A29" s="20" t="inlineStr">
        <is>
          <t>13</t>
        </is>
      </c>
      <c r="B29" s="21" t="inlineStr">
        <is>
          <t>Investissement lourd d'infrastructure (Incinérateur hospitalier moderne)</t>
        </is>
      </c>
      <c r="C29" s="22" t="n">
        <v>25000000</v>
      </c>
      <c r="D29" s="23" t="inlineStr">
        <is>
          <t>62.7%</t>
        </is>
      </c>
      <c r="E29" s="20" t="inlineStr">
        <is>
          <t>Subvention État / PTF</t>
        </is>
      </c>
      <c r="F29" s="21" t="inlineStr">
        <is>
          <t>Installation incinérateur pyrolytique moderne</t>
        </is>
      </c>
    </row>
    <row r="30" ht="22" customHeight="1">
      <c r="A30" s="15" t="inlineStr"/>
      <c r="B30" s="24" t="inlineStr">
        <is>
          <t>TOTAL</t>
        </is>
      </c>
      <c r="C30" s="25">
        <f>SUM(C17:C29)</f>
        <v/>
      </c>
      <c r="D30" s="26" t="inlineStr">
        <is>
          <t>100.0%</t>
        </is>
      </c>
      <c r="E30" s="27" t="inlineStr"/>
      <c r="F30" s="27" t="inlineStr"/>
    </row>
    <row r="33">
      <c r="A33" s="19" t="inlineStr">
        <is>
          <t>3. Répartition par Source de Financement</t>
        </is>
      </c>
    </row>
    <row r="34" ht="22" customHeight="1">
      <c r="A34" s="2" t="inlineStr">
        <is>
          <t>N°</t>
        </is>
      </c>
      <c r="B34" s="2" t="inlineStr">
        <is>
          <t>Source de Financement</t>
        </is>
      </c>
      <c r="C34" s="2" t="inlineStr">
        <is>
          <t>Montant (XOF)</t>
        </is>
      </c>
      <c r="D34" s="2" t="inlineStr">
        <is>
          <t>%</t>
        </is>
      </c>
      <c r="E34" s="2" t="inlineStr">
        <is>
          <t>Affectation Principale</t>
        </is>
      </c>
      <c r="F34" s="2" t="inlineStr">
        <is>
          <t>Statut de Disponibilité</t>
        </is>
      </c>
    </row>
    <row r="35">
      <c r="A35" s="20" t="inlineStr">
        <is>
          <t>1</t>
        </is>
      </c>
      <c r="B35" s="21" t="inlineStr">
        <is>
          <t>Fonds Propres CHUMEL (Exploitation, consommables &amp; équipements opérationnels)</t>
        </is>
      </c>
      <c r="C35" s="22" t="n">
        <v>14850618</v>
      </c>
      <c r="D35" s="23" t="inlineStr">
        <is>
          <t>37.3%</t>
        </is>
      </c>
      <c r="E35" s="21" t="inlineStr">
        <is>
          <t>Totalité des activités de formation, microbiologie, surveillance hebdomadaire, communication, consommables et équipements de terrain</t>
        </is>
      </c>
      <c r="F35" s="21" t="inlineStr">
        <is>
          <t>Disponible et arbitrable sur budget hospitalier 2026-2027</t>
        </is>
      </c>
    </row>
    <row r="36">
      <c r="A36" s="20" t="inlineStr">
        <is>
          <t>2</t>
        </is>
      </c>
      <c r="B36" s="21" t="inlineStr">
        <is>
          <t>Subvention d'Investissement État / Partenaires Techniques et Financiers (PTF)</t>
        </is>
      </c>
      <c r="C36" s="22" t="n">
        <v>25000000</v>
      </c>
      <c r="D36" s="23" t="inlineStr">
        <is>
          <t>62.7%</t>
        </is>
      </c>
      <c r="E36" s="21" t="inlineStr">
        <is>
          <t>Acquisition, génie civil et mise en service de l'incinérateur hospitalier pyrolytique moderne</t>
        </is>
      </c>
      <c r="F36" s="21" t="inlineStr">
        <is>
          <t>Dossier de plaidoyer technique et de mobilisation en cours</t>
        </is>
      </c>
    </row>
    <row r="37" ht="22" customHeight="1">
      <c r="A37" s="15" t="inlineStr"/>
      <c r="B37" s="24" t="inlineStr">
        <is>
          <t>TOTAL</t>
        </is>
      </c>
      <c r="C37" s="25">
        <f>SUM(C35:C36)</f>
        <v/>
      </c>
      <c r="D37" s="26" t="inlineStr">
        <is>
          <t>100.0%</t>
        </is>
      </c>
      <c r="E37" s="27" t="inlineStr"/>
      <c r="F37" s="2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2026-09-29T16:59:11Z</dcterms:created>
  <dcterms:modified xmlns:dcterms="http://purl.org/dc/terms/" xmlns:xsi="http://www.w3.org/2001/XMLSchema-instance" xsi:type="dcterms:W3CDTF">2026-09-29T16:59:11Z</dcterms:modified>
</cp:coreProperties>
</file>